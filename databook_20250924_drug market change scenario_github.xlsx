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burnetinstitute.sharepoint.com/sites/WG-Modelling/Shared Documents/Other projects/ACT harm reduction/Working files/Databook/Use pared back version for github_not ready/"/>
    </mc:Choice>
  </mc:AlternateContent>
  <xr:revisionPtr revIDLastSave="67" documentId="8_{75979C27-7215-4080-BDB1-89C3C2DAE12D}" xr6:coauthVersionLast="47" xr6:coauthVersionMax="47" xr10:uidLastSave="{8F15E10E-E1CB-4280-B93D-9B999F5BF729}"/>
  <bookViews>
    <workbookView xWindow="-98" yWindow="-98" windowWidth="19396" windowHeight="11475" xr2:uid="{0829C121-4119-4CC1-95AD-6E07DF42A58A}"/>
  </bookViews>
  <sheets>
    <sheet name="probabilities" sheetId="1" r:id="rId1"/>
    <sheet name="evidence" sheetId="2" r:id="rId2"/>
    <sheet name="population_size" sheetId="4" r:id="rId3"/>
    <sheet name="costs" sheetId="10" r:id="rId4"/>
    <sheet name="max_coverage" sheetId="3" r:id="rId5"/>
  </sheets>
  <externalReferences>
    <externalReference r:id="rId6"/>
  </externalReferences>
  <definedNames>
    <definedName name="_xlnm._FilterDatabase" localSheetId="0" hidden="1">probabilities!$A$1:$R$357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2" l="1"/>
  <c r="E94" i="10" l="1"/>
  <c r="E42" i="2"/>
  <c r="E70" i="10"/>
  <c r="E116" i="10"/>
  <c r="E96" i="10"/>
  <c r="E63" i="10"/>
  <c r="E33" i="10"/>
  <c r="E5" i="10"/>
  <c r="E11" i="2" l="1"/>
  <c r="E20" i="2" l="1"/>
  <c r="E87" i="10"/>
  <c r="E86" i="10"/>
  <c r="E68" i="10"/>
  <c r="E67" i="10"/>
  <c r="E38" i="10"/>
  <c r="E37" i="10"/>
  <c r="E12" i="10"/>
  <c r="E11" i="10"/>
  <c r="E3" i="10"/>
  <c r="E21" i="2" l="1"/>
  <c r="E39" i="2" l="1"/>
  <c r="E8" i="2"/>
  <c r="E29" i="2" l="1"/>
  <c r="E41" i="2" l="1"/>
  <c r="E10" i="2"/>
  <c r="E9" i="2"/>
  <c r="E48" i="2"/>
  <c r="E27" i="2"/>
  <c r="E35" i="2"/>
  <c r="E34" i="2" s="1"/>
  <c r="E7" i="2" l="1"/>
  <c r="E44" i="2"/>
  <c r="E37" i="2"/>
  <c r="E18" i="2"/>
  <c r="E17" i="2"/>
  <c r="E13" i="2"/>
  <c r="E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Bowring</author>
  </authors>
  <commentList>
    <comment ref="F21" authorId="0" shapeId="0" xr:uid="{D6FDD8D6-84E1-40BC-9CBF-3D74434EB69C}">
      <text>
        <r>
          <rPr>
            <b/>
            <sz val="9"/>
            <color indexed="81"/>
            <rFont val="Tahoma"/>
            <family val="2"/>
          </rPr>
          <t>Anna Bowring:</t>
        </r>
        <r>
          <rPr>
            <sz val="9"/>
            <color indexed="81"/>
            <rFont val="Tahoma"/>
            <family val="2"/>
          </rPr>
          <t xml:space="preserve">
https://www.aihw.gov.au/reports/alcohol/alcohol-tobacco-other-drugs-australia/contents/drug-types/amphetamines-and-other-stimulants#Deaths</t>
        </r>
      </text>
    </comment>
    <comment ref="F42" authorId="0" shapeId="0" xr:uid="{F19AD0A9-283C-4B00-921C-00F105D3FF69}">
      <text>
        <r>
          <rPr>
            <b/>
            <sz val="9"/>
            <color indexed="81"/>
            <rFont val="Tahoma"/>
            <family val="2"/>
          </rPr>
          <t>Anna Bowring:</t>
        </r>
        <r>
          <rPr>
            <sz val="9"/>
            <color indexed="81"/>
            <rFont val="Tahoma"/>
            <family val="2"/>
          </rPr>
          <t xml:space="preserve">
https://www.abs.gov.au/articles/opioid-induced-deaths-australia#opioid-induced-deaths-by-region-of-usual-residence</t>
        </r>
      </text>
    </comment>
  </commentList>
</comments>
</file>

<file path=xl/sharedStrings.xml><?xml version="1.0" encoding="utf-8"?>
<sst xmlns="http://schemas.openxmlformats.org/spreadsheetml/2006/main" count="4418" uniqueCount="240">
  <si>
    <t>population</t>
  </si>
  <si>
    <t>node</t>
  </si>
  <si>
    <t>outcome</t>
  </si>
  <si>
    <t>best</t>
  </si>
  <si>
    <t>lower</t>
  </si>
  <si>
    <t>upper</t>
  </si>
  <si>
    <t>condition1</t>
  </si>
  <si>
    <t>value1</t>
  </si>
  <si>
    <t>condition2</t>
  </si>
  <si>
    <t>value2</t>
  </si>
  <si>
    <t>condition3</t>
  </si>
  <si>
    <t>value3</t>
  </si>
  <si>
    <t>condition4</t>
  </si>
  <si>
    <t>value4</t>
  </si>
  <si>
    <t>condition5</t>
  </si>
  <si>
    <t>value5</t>
  </si>
  <si>
    <t>PWID_opioid</t>
  </si>
  <si>
    <t>int_safesupply</t>
  </si>
  <si>
    <t>none</t>
  </si>
  <si>
    <t>safesupply</t>
  </si>
  <si>
    <t>int_check</t>
  </si>
  <si>
    <t>check</t>
  </si>
  <si>
    <t>int_oat</t>
  </si>
  <si>
    <t>oat</t>
  </si>
  <si>
    <t>int_nal</t>
  </si>
  <si>
    <t>naloxone</t>
  </si>
  <si>
    <t>int_dcr</t>
  </si>
  <si>
    <t>medicalised</t>
  </si>
  <si>
    <t>peerled</t>
  </si>
  <si>
    <t>int_techno</t>
  </si>
  <si>
    <t>techno</t>
  </si>
  <si>
    <t>drug_id</t>
  </si>
  <si>
    <t>yes</t>
  </si>
  <si>
    <t>behavchange</t>
  </si>
  <si>
    <t>no</t>
  </si>
  <si>
    <t>inj_loc</t>
  </si>
  <si>
    <t>dcr</t>
  </si>
  <si>
    <t>public</t>
  </si>
  <si>
    <t>private</t>
  </si>
  <si>
    <t>overdose_inj_opioid</t>
  </si>
  <si>
    <t>nal_avail</t>
  </si>
  <si>
    <t>nal_used</t>
  </si>
  <si>
    <t>emergency_response_inj_opioid</t>
  </si>
  <si>
    <t>death_inj_opioid</t>
  </si>
  <si>
    <t>PWID_meth</t>
  </si>
  <si>
    <t>overdose_inj_nonopioid</t>
  </si>
  <si>
    <t>emergency_response_inj_nonopioid</t>
  </si>
  <si>
    <t>death_inj_nonopioid</t>
  </si>
  <si>
    <t>PWID</t>
  </si>
  <si>
    <t>int_nsp</t>
  </si>
  <si>
    <t>nsp</t>
  </si>
  <si>
    <t>reuse</t>
  </si>
  <si>
    <t>irid</t>
  </si>
  <si>
    <t>irid_hospital</t>
  </si>
  <si>
    <t>short</t>
  </si>
  <si>
    <t>long</t>
  </si>
  <si>
    <t>bbv_inci</t>
  </si>
  <si>
    <t>bbv_treat</t>
  </si>
  <si>
    <t>treat</t>
  </si>
  <si>
    <t>noninjectdrug_opioid</t>
  </si>
  <si>
    <t>overdose_noninj_opioid</t>
  </si>
  <si>
    <t>emergency_response_noninj_opioid</t>
  </si>
  <si>
    <t>death_noninj_opioid</t>
  </si>
  <si>
    <t>noninjectdrug_nonopioid</t>
  </si>
  <si>
    <t>overdose_noninj_nonopioid</t>
  </si>
  <si>
    <t>emergency_response_noninj_nonopioid</t>
  </si>
  <si>
    <t>death_noninj_nonopioid</t>
  </si>
  <si>
    <t>DAG</t>
  </si>
  <si>
    <t>baseline</t>
  </si>
  <si>
    <t>injection_overdose_opioid</t>
  </si>
  <si>
    <t>injection_overdose_nonopioid</t>
  </si>
  <si>
    <t>IRID</t>
  </si>
  <si>
    <t>BBV</t>
  </si>
  <si>
    <t>noninjectdrug_opioidoverdose</t>
  </si>
  <si>
    <t>noninjectdrug_nonopioidoverdose</t>
  </si>
  <si>
    <t>max_coverage</t>
  </si>
  <si>
    <t>population_size</t>
  </si>
  <si>
    <t>2024</t>
  </si>
  <si>
    <t>2025</t>
  </si>
  <si>
    <t>2026</t>
  </si>
  <si>
    <t>2027</t>
  </si>
  <si>
    <t>2028</t>
  </si>
  <si>
    <t>2029</t>
  </si>
  <si>
    <t>2030</t>
  </si>
  <si>
    <t>Notes</t>
  </si>
  <si>
    <t>Prospective intervention</t>
  </si>
  <si>
    <t>prospective intervention</t>
  </si>
  <si>
    <t>Based on CanTEST intention to not use drug, plus half of those who were undecided</t>
  </si>
  <si>
    <t>Among those who attended Melbourne MSIR at all, % who reported frequent use (&gt;50% of injections). Van Den Boom(2021).</t>
  </si>
  <si>
    <t>Based on OR = 0.39 (0.18-0.85), Folch 2018. calculated from baseline with no DCR</t>
  </si>
  <si>
    <t>1 - sum(DCR + public injections)</t>
  </si>
  <si>
    <t>Source and notes</t>
  </si>
  <si>
    <t>Used same coverage as opioid users among those who use both heroin and methamphetamine, and assumed those who used methamphetamine only did not have it available</t>
  </si>
  <si>
    <t>Based on reporting any injection related issues (artery injection, nerve damage, thrombosis, infection/abcess, dirty hit). IDRS ACT 2023, pg 54</t>
  </si>
  <si>
    <t xml:space="preserve">5.4 per 100 PY (2016-21). Iversen 2023. doi: 10.1111/add.16113. </t>
  </si>
  <si>
    <t>Assumption</t>
  </si>
  <si>
    <t>No overdose, no naloxone needed</t>
  </si>
  <si>
    <t>Assume not used for methamphetamine-suspected overdoses</t>
  </si>
  <si>
    <t>range based on Grebely 2020 (review), Aung 2023. Excluding studies from prior to 2016</t>
  </si>
  <si>
    <t>assume no behaviour change if unexpected drugs not detected</t>
  </si>
  <si>
    <t>Assumed same as PWID-opioids</t>
  </si>
  <si>
    <t>null case</t>
  </si>
  <si>
    <t>notes</t>
  </si>
  <si>
    <t>based on total number of opioid-related deaths in 2022 (ACT, NIDIP 2003-2022) and using split of pharmaeutical to heroin deaths from ACT in 2018 (ABS 2019). Derived number of pharmaceutical opioid deaths in 2022 divided by pop size of non-injection opioid users.  (https://www.abs.gov.au/articles/opioid-induced-deaths-australia)</t>
  </si>
  <si>
    <t>based on referral from DCR, which doesn’t yet exist so model as 0.</t>
  </si>
  <si>
    <t xml:space="preserve">Based on number of ambulance attendances for opioid analgesics divided by population size of people who use non-injecting opioids. (Alcohol, tobacco and other drugs in Australia 2024, Drug types, supplementary tables S2.10) </t>
  </si>
  <si>
    <t>non-fatal stimulant overdose. EDRS-ACT 2023 pg 74</t>
  </si>
  <si>
    <t>Assume can reach double coverage</t>
  </si>
  <si>
    <t>Nielsen, personal communication (29/11/2024)</t>
  </si>
  <si>
    <t>Nielsen 2022 - assumption used in previous modelling</t>
  </si>
  <si>
    <t>% who have accesed naloxone in past year * among those who have ever access naloxone, 52% always have on hand when use; 19% often. Increase to account for accompanying people or bystanders having on hand. IDRS pg 60
Estimate 20% have accessed in past year (Nielsen, personal commuication, 29/11/2024)</t>
  </si>
  <si>
    <t>Numerator: 34 (Alcohol, tobacco and other drugs in Australia 2024, Drug types, supplementary tables S2.10) ; Denominator: Based on estimated prevalence of overdose (5%, Nielsen 2021) and size of population.</t>
  </si>
  <si>
    <t xml:space="preserve">Based on number of ambulance attendances for methamphetamine divided by population size of PWID-methamphetamines + non-injecting methamphetamines. (Alcohol, tobacco and other drugs in Australia 2024, Drug types, supplementary tables S2.10) </t>
  </si>
  <si>
    <t>WHO target</t>
  </si>
  <si>
    <t>Assume can reach double coverage with two sites</t>
  </si>
  <si>
    <t>Assume not reaching people only using non-opioid drugs</t>
  </si>
  <si>
    <t>Based on proportion who aren't currently on OAT and the proportion of PWID who have recently used opioids with probable opioid dependence</t>
  </si>
  <si>
    <t>Based on 90% of those with probable opioid dependence</t>
  </si>
  <si>
    <t>Assumption. Based on IDRS, 13% melbourne sample and 10% of sydney sample last injected at DCR (National IDRS 2023)</t>
  </si>
  <si>
    <t>unit_cost</t>
  </si>
  <si>
    <t xml:space="preserve">Based on estimated cost of $2,673.4 per day, and median of 5 days stay </t>
  </si>
  <si>
    <t>Evidence of 66% shorter duration of hospital stay among individuals referred from a DCR</t>
  </si>
  <si>
    <t>Defined in probabilities</t>
  </si>
  <si>
    <t>Assumption. Alternative: based on IDRS, 13% melbourne sample and 10% of sydney sample last injected at DCR (National IDRS 2023)</t>
  </si>
  <si>
    <t xml:space="preserve">Assume if no emergency response at DCR then zero probability of death. </t>
  </si>
  <si>
    <t>Based on CanTEST intention to not use drug, plus half of those who were undecided. +- 0.1 CI added</t>
  </si>
  <si>
    <t>Target for PWID_opioids adjusted for % of all PWID who use opioids</t>
  </si>
  <si>
    <t>based on crude incidence rate of 42.7 per 1000 PY for hospitalisation for any injection-related disease (Colledge-Frisby 2022) ( 29.9 per 1000PY for hospitalisation for SSTI specifically)</t>
  </si>
  <si>
    <t>midpoint of range given commodity only and top-down estimate from CAHMA 2021-22 budget including training and distribution costs. Annualised cost adjusted based on assumption of refill every 2 years</t>
  </si>
  <si>
    <t>WHO target (persons covered, not injections covered)</t>
  </si>
  <si>
    <t>cost_weight</t>
  </si>
  <si>
    <t>setup_cost</t>
  </si>
  <si>
    <t>Emergency response: rate of death per ambulance attendance = 8% (MSIC Evaluation Committee 2003) - assume this is only is they do not show on time, using RR=0.08; OAT: RR=0.42 (0.25-0.72), Sordo 2017;naloxone: RR=0.037 (0.029-0.045), McDonald 2016; DCR: 35% reduction in deaths in vicinity (Marshall 2011), but assumed RR 0-0.05 given no fatalities in Mel/Syd</t>
  </si>
  <si>
    <t>upper limit: estimated cost for hotline based on 5 FTE nurses at maximum coverage, assuming 50% of injections are covered. Lower limit: assuming 50,000 in start up costs divided by 300 PY covered at scale up</t>
  </si>
  <si>
    <t>Assume could reach higher % if overdose risk increase</t>
  </si>
  <si>
    <t>might_overdose_inj_opioid</t>
  </si>
  <si>
    <t>Assumed always emergency response always initated if using the app, and app is used for 60% of drug-taking episodes.  No impact of naloxone</t>
  </si>
  <si>
    <t xml:space="preserve">Numerator: Based on number of non-opioid deaths in ACT, NIDIP 2022.  Denominator: population size of non-opioid users. Alternative estimates based on sum of rate of deaths by drug class applied to ACT population size and divided by number of people who use non-opioids through non-injecting routes likely to overestimate rate of death due to multiple drugs being detected at time of death. </t>
  </si>
  <si>
    <t>IDRS ACT 2023, pg 59. 13% specific to non-fatal opioid overdose. Adjusted to include fatal overdoses, assuming 1 fatal overdose for every 31.3 non fatal overdoses (Darke 2003)</t>
  </si>
  <si>
    <t>% who have accesed naloxone in past year * among those who have ever accessed naloxone , % who usually have on hand (52% always have on hand when use + 19% often). Source: IDRS ACT 2023, pg 60</t>
  </si>
  <si>
    <t>Based on reported % who have resuscitated someone with naloxone in past year. Source: IDRS ACT 2023, pg. 61</t>
  </si>
  <si>
    <t>Based on number of ambulance attendances for heroin divided by population size of PWID-opioids. Source: Alcohol, tobacco and other drugs in Australia 2024, Drug types, supplementary tables S2.10</t>
  </si>
  <si>
    <t>Based on total number of opioid-related deaths in 2022 (ACT, NIDIP 2003-2022) and using split of pharmaeutical to heroin deaths from ACT in 2018 (ABS 2019). Derived number of pharmaceutical opioid deaths in 2022 divided by populations size PWID opioid users. Source: https://www.abs.gov.au/articles/opioid-induced-deaths-australia</t>
  </si>
  <si>
    <t>Total overdose minus opioid overdose, IDRS 2023</t>
  </si>
  <si>
    <t>rate 1.9 deaths per 100,000 people for ATS (AIHW supplementary tables table, data by region, table1 ). Using adult population size of ACT, derived number of deaths, and divided this by population size of PWID_methamphetamines (n=1000) + people using methamphatimines through non-injecting routes (n=4400)</t>
  </si>
  <si>
    <t>26% of NSP users (NSP survey) reuse (likely underestimation when considering all PWID)</t>
  </si>
  <si>
    <t>Based on number of ambulance attendances for methamphetamine and benzodiazepines divided by population size on people who use non-injecting non-opioid drugs. (Alcohol, tobacco and other drugs in Australia 2024, Drug types, supplementary tables S2.10) .Note - emergency response for methamphetamines may also be among PWID - no way to separate</t>
  </si>
  <si>
    <t>Report methadone or buprenorphinedrug treatment. Source: IDRS ACT 2023, table 7</t>
  </si>
  <si>
    <t>68% PWID accessed in past year. Source: IDRS ACT, pg 60.</t>
  </si>
  <si>
    <t>Assume unexpected drugs can only be identified with drug checking in place</t>
  </si>
  <si>
    <t>Based on CanTEST intention to not use drug, plus half of those who were undecided (CanTEST 2023 evaluation; +-0.1 CI added)</t>
  </si>
  <si>
    <t>Assume that if do not receive abnormal results, will not change behaviour</t>
  </si>
  <si>
    <t>Same as baseline, when no DCR available. Source: IDRS ACT 2023, table 5; +-0.1 CI added</t>
  </si>
  <si>
    <t>Among those who attended Melbourne MSIR at all, % who reported frequent use (&gt;50% of injections). Source: Van Den Boom (2021). +-0.1 CI added</t>
  </si>
  <si>
    <t>Based on OR = 0.39 (0.18-0.85) for reduction in public infection. Source: Folch 2018, calculated from baseline with no DCR</t>
  </si>
  <si>
    <t>Assumed that behaviour change further reduced the risk of overdose by 0.745 (95% CI 0.5-0.99) in addition to impact of OAT or safer opioid supply.</t>
  </si>
  <si>
    <t>Naloxone available in DCR independent of THN program</t>
  </si>
  <si>
    <t xml:space="preserve">Assume if no THN intervention, no access to naloxone in community </t>
  </si>
  <si>
    <t>Among those who have received naloxone, 52-71% often or always have naloxone on hand when using opioids. Source: IDRS ACT 2023</t>
  </si>
  <si>
    <t>DCR: Based on Sydney MSIC, 20% of overdoses require naloxone administration and most can be treated through oxygen and airway management alone (Source: Day 2022).  Public/private settings: assume used 90% (+-5%) where observed and on hand.</t>
  </si>
  <si>
    <t>If not available, not used (in community)</t>
  </si>
  <si>
    <t>Based on 46.5% of people being accompanied when they inject (source: IDRS 2023 data request), and assuming that if naloxone is on hand and overdose is witnessed, naloxone will be used appropriately 90% (+- 9%) of time  (Source: previous modelling assumption, Nielsen  2021 &amp; Dietze 2022)</t>
  </si>
  <si>
    <t>In Sydney, &lt;1% of overdoses at DCR require an ambulance (Salmon 2010)</t>
  </si>
  <si>
    <t>Assume that at a DCR ambulance only called after trying naloxone, thus no emergency response if naloxone not used</t>
  </si>
  <si>
    <t>No emergency response if no overdose</t>
  </si>
  <si>
    <t>Lower limit: Ambulance attendance data (AIHW) and estimated number of overdoses (IDRS). Upper limit: Darke 1996 (via Darke 2003), ambulance attended in 51% of the most recent non-fatal overdoses reported by heroin users. No significant difference by naloxone administration in community</t>
  </si>
  <si>
    <t>In Sydney, only 1% of overdose at DCR require an ambulance.  Assume no additional impact of technological interventions if injecting at DCR.</t>
  </si>
  <si>
    <t xml:space="preserve">Assumes emergency response always initated if using an app, and app is used for 60% of drug-taking episodes. </t>
  </si>
  <si>
    <t xml:space="preserve">Assumed always emergency response always initated if using the app, and app is used for 60% of drug-taking episodes. </t>
  </si>
  <si>
    <t>Emergency response: rate of death per ambulance attendance = 8% (MSIC Evaluation Committee 2003) - assume this is only if they do not show on time, using RR=0.08. OAT: RR=0.42 (95% CI0.25-0.72), Sordo 2017. THN: RR=0.037 (95% CI 0.029-0.045), McDonald 2016. DCR: 35% reduction in deaths in vicinity (Marshall 2011), but assumed RR 0-0.05 given no fatalities in Melbourne/Sydney</t>
  </si>
  <si>
    <t xml:space="preserve">If no overdose then no overdose-related death. </t>
  </si>
  <si>
    <t>Based on OR = 0.39 (95% CI 0.18-0.85), Folch 2018. Calculated from baseline with no DCR</t>
  </si>
  <si>
    <t>1 - sum (DCR + public injections)</t>
  </si>
  <si>
    <t>Assume naloxone not used in non-opioid overdose</t>
  </si>
  <si>
    <t>Estimated based on % non-opioid overdose  (IDRS ACT 2023) + % overdose from stimulants-methamphetamines (EDRS ACT 2023); number of ambulance attendances for all methamphetamines (AIHW). Assuming only half of ambulances are specific to drug toxicity (based of cause of death, Stronach 2024)</t>
  </si>
  <si>
    <t>In Sydney, &lt;1% of overdoses at DCR require an ambulance (Salmon 2010), No effect of technological interventions modelled from DCR.</t>
  </si>
  <si>
    <t>based on 43% OAT among opioid-users (source: IDRS ACT 2023) adjusted for total population of PWID</t>
  </si>
  <si>
    <t>% accessing health service * of those, % accessing NSP for any reason. Source: IDRS ACT 2023, pg 69</t>
  </si>
  <si>
    <t>Among those who attended Melbourne MSIR at all, % who reported frequent use (&gt;50% of injections). Source: Van Den Boom 2021.</t>
  </si>
  <si>
    <t>Based on OR = 0.39 (95% CI 0.18-0.85), calculated from baseline with no DCR. Source: Folch 2018</t>
  </si>
  <si>
    <t>calculated given current NSP person-coverage, effect size (Iversen 2012, OR converted to a RR), and current prevalence of reuse.</t>
  </si>
  <si>
    <t>calculated given current NSP person-coverage, effect size (Iversen 2012, OR converted to a RR), and current prevalence of reuse. No impact of brief interventions accessed through drug checking services included. have not assumed any impact of drug checking/brief interventions</t>
  </si>
  <si>
    <t>Calculated given estimated p0 and effect sizes (Colledge 2020). No evidence of different IRID incidence with DCR, thus assumed same as private injections</t>
  </si>
  <si>
    <t>Calculated given estimated p0 and effect sizes (Colledge 2020). No evidence of different IRI incidence with DCR, thus assumed same as private injections</t>
  </si>
  <si>
    <t>Based on crude incidence rate for hospitalisation for IRI (/1000PY), via Colledge-Frisby 2022. Assumed short treatment if coming from DCR  (median 4 days vs. 12)</t>
  </si>
  <si>
    <t>null, no hospitalisation if no IRI</t>
  </si>
  <si>
    <t>Based on 43% OAT among people who use opioids (Source: IDRS ACT 2023) adjusted for total population of PWID</t>
  </si>
  <si>
    <t>% accessing health service * of those, % accessing NSP for any reason. Source: IDRS 2023, pg 69</t>
  </si>
  <si>
    <t>Among those who attended Melbourne MSIR at all, % who reported frequent use (&gt;50% of injections). Source: Van Den Boom, 2021.</t>
  </si>
  <si>
    <t>Calculated given estimated p0 and effect sizes (Platt 2018). NSP (high coverage): RR = 0.44 (0.24– 0.8), based on pooled effect size in European countries ; DCR (frequent users): assumed same as NSP; OST (current use): RR=0.42 (0.25–0.72).</t>
  </si>
  <si>
    <t>Use probability of 1 so look at cost-benefit for all infections averted</t>
  </si>
  <si>
    <t>null, no infection</t>
  </si>
  <si>
    <t>Assume no behaviour change if unexpected drugs not detected</t>
  </si>
  <si>
    <t>If no THN program then assume no access to naloxone in the community.</t>
  </si>
  <si>
    <t>Based on 21% of overdoses to pharmaceutical opioids being witnessed (Ogeil 2018), naloxone will be used appropriately 90% of time +- 9% (previous modelling assumption, Nielsen  2021 ; Dietze 2022)</t>
  </si>
  <si>
    <t>Assumed emergency response always initated if using the app, and app is used for 60% of drug-taking episodes.  No impact of naloxone because assumed naloxone not available when using alone</t>
  </si>
  <si>
    <t>If no overdose, no probability of overdose-related death</t>
  </si>
  <si>
    <t>Assume the THN does not reach people who use non-opioid drugs through non-injecting routes</t>
  </si>
  <si>
    <r>
      <rPr>
        <sz val="11"/>
        <color rgb="FF0070C0"/>
        <rFont val="Calibri"/>
        <family val="2"/>
        <scheme val="minor"/>
      </rPr>
      <t>Assumes 20% increase in baseline rate of overdose.</t>
    </r>
    <r>
      <rPr>
        <sz val="11"/>
        <rFont val="Calibri"/>
        <family val="2"/>
        <scheme val="minor"/>
      </rPr>
      <t xml:space="preserve"> Estimated based on current prevalence of opioid overdose, baseline coverage of interventions, and effect size for OAT and safer opioid supply. </t>
    </r>
  </si>
  <si>
    <r>
      <rPr>
        <sz val="11"/>
        <color rgb="FF0070C0"/>
        <rFont val="Calibri"/>
        <family val="2"/>
      </rPr>
      <t xml:space="preserve">Assumed probability of death from overdose matched that for heroin. </t>
    </r>
    <r>
      <rPr>
        <sz val="11"/>
        <rFont val="Calibri"/>
        <family val="2"/>
      </rPr>
      <t>DCR: 35% reduction in deaths in vicinity (Marshall 2011), but assumed RR 0-0.05 given no fatalities in Mel/Syd; Assumed emergency response reduced by RR 0.08 as for opioids.</t>
    </r>
  </si>
  <si>
    <r>
      <rPr>
        <sz val="11"/>
        <color rgb="FF0070C0"/>
        <rFont val="Calibri"/>
        <family val="2"/>
      </rPr>
      <t>Assumed probability of death from overdose matched that for heroin.</t>
    </r>
    <r>
      <rPr>
        <sz val="11"/>
        <rFont val="Calibri"/>
        <family val="2"/>
      </rPr>
      <t xml:space="preserve"> DCR: 35% reduction in deaths in vicinity (Marshall 2011), but assumed RR 0-0.05 given no fatalities in Mel/Syd; Assumed emergency response reduced by RR 0.08 as for opioids.</t>
    </r>
  </si>
  <si>
    <r>
      <rPr>
        <sz val="11"/>
        <color rgb="FF0070C0"/>
        <rFont val="Calibri"/>
        <family val="2"/>
      </rPr>
      <t xml:space="preserve">Assumed probability of death from overdose matched that for heroin. </t>
    </r>
    <r>
      <rPr>
        <sz val="11"/>
        <rFont val="Calibri"/>
        <family val="2"/>
      </rPr>
      <t>DCR: 35% reduction in deaths in vicinity (Marshall 2011), but assumed RR 0-0.05 given no fatalities in Melbourne and Sydney. Assumed emergency response reduced by RR 0.08 as for opioids.</t>
    </r>
  </si>
  <si>
    <r>
      <rPr>
        <sz val="11"/>
        <color rgb="FF0070C0"/>
        <rFont val="Calibri"/>
        <family val="2"/>
        <scheme val="minor"/>
      </rPr>
      <t>Assume overdose risk increases by 20%.</t>
    </r>
    <r>
      <rPr>
        <sz val="11"/>
        <color theme="1"/>
        <rFont val="Calibri"/>
        <family val="2"/>
        <scheme val="minor"/>
      </rPr>
      <t xml:space="preserve"> Assumption used for pharmaceutical opioid overdose, Nielsen 2022 modelling study that behaviour change has a RR of 0.8 (0.7-0.9)</t>
    </r>
  </si>
  <si>
    <r>
      <rPr>
        <sz val="11"/>
        <color rgb="FF0070C0"/>
        <rFont val="Calibri"/>
        <family val="2"/>
        <scheme val="minor"/>
      </rPr>
      <t>Assumed probability of death from overdose matched that for heroin.</t>
    </r>
    <r>
      <rPr>
        <sz val="11"/>
        <color theme="1"/>
        <rFont val="Calibri"/>
        <family val="2"/>
        <scheme val="minor"/>
      </rPr>
      <t xml:space="preserve"> naloxone: RR=0.037 (0.029-0.045), McDonald 2016. Emergency response: assumed RR=0.08, as per heroin</t>
    </r>
  </si>
  <si>
    <r>
      <t xml:space="preserve">Numerator based on CanTEST number of unique IDs, assuming 76.1% people from ACT, excluding the 2% providing heroin and 3% providing meth, plus </t>
    </r>
    <r>
      <rPr>
        <sz val="11"/>
        <color rgb="FF0070C0"/>
        <rFont val="Calibri"/>
        <family val="2"/>
        <scheme val="minor"/>
      </rPr>
      <t>assuming 5</t>
    </r>
    <r>
      <rPr>
        <sz val="11"/>
        <color theme="1"/>
        <rFont val="Calibri"/>
        <family val="2"/>
        <scheme val="minor"/>
      </rPr>
      <t xml:space="preserve"> people covered for each person reached (instead of 2). Denominator based on number of people who use non-injecting drugs </t>
    </r>
  </si>
  <si>
    <r>
      <rPr>
        <sz val="11"/>
        <color rgb="FF0070C0"/>
        <rFont val="Calibri"/>
        <family val="2"/>
        <scheme val="minor"/>
      </rPr>
      <t xml:space="preserve">Assumed increased by 20% in line with increase in overdose risk. </t>
    </r>
    <r>
      <rPr>
        <sz val="11"/>
        <color theme="1"/>
        <rFont val="Calibri"/>
        <family val="2"/>
        <scheme val="minor"/>
      </rPr>
      <t>Unexpected drug identifed or inconclusive result. Source: CanTEST 2023 evaluation, pg 45.  +- 0.2 CI added</t>
    </r>
  </si>
  <si>
    <r>
      <t xml:space="preserve">Numerator based on CanTEST number of unique IDs, assuming 76.1% people from ACT, excluding the 2% providing heroin and 3% providing meth, </t>
    </r>
    <r>
      <rPr>
        <sz val="11"/>
        <color rgb="FF0070C0"/>
        <rFont val="Calibri"/>
        <family val="2"/>
        <scheme val="minor"/>
      </rPr>
      <t xml:space="preserve">plus assuming 5 people covered for each person reached (in place of 2 under current conditions). </t>
    </r>
    <r>
      <rPr>
        <sz val="11"/>
        <color theme="1"/>
        <rFont val="Calibri"/>
        <family val="2"/>
        <scheme val="minor"/>
      </rPr>
      <t xml:space="preserve">Denominator based on number of people who use drugs through non-injecting routes. </t>
    </r>
  </si>
  <si>
    <r>
      <t xml:space="preserve">Numerator: Based on CanTEST program data, of which 76.2% from ACT. </t>
    </r>
    <r>
      <rPr>
        <sz val="11"/>
        <color rgb="FF0070C0"/>
        <rFont val="Calibri"/>
        <family val="2"/>
        <scheme val="minor"/>
      </rPr>
      <t xml:space="preserve">Assuming reaches 5 people for each person tested (in place of 2 under current conditions). </t>
    </r>
    <r>
      <rPr>
        <sz val="11"/>
        <color theme="1"/>
        <rFont val="Calibri"/>
        <family val="2"/>
        <scheme val="minor"/>
      </rPr>
      <t>Among clients 2% provided heroin and 3% provided methamphetamines. Denominator: PWID-meth population size</t>
    </r>
  </si>
  <si>
    <r>
      <rPr>
        <sz val="11"/>
        <color rgb="FF0070C0"/>
        <rFont val="Calibri"/>
        <family val="2"/>
        <scheme val="minor"/>
      </rPr>
      <t xml:space="preserve">Assume overdose risk increases by 20%. </t>
    </r>
    <r>
      <rPr>
        <sz val="11"/>
        <color theme="1"/>
        <rFont val="Calibri"/>
        <family val="2"/>
        <scheme val="minor"/>
      </rPr>
      <t>Based on prevalence of non opioid overdose (IDRS ACT 2023). Assume that behaviour change has a RR of 0.745 (95% CI 0.5-0.99)</t>
    </r>
  </si>
  <si>
    <r>
      <rPr>
        <sz val="11"/>
        <color rgb="FF0070C0"/>
        <rFont val="Calibri"/>
        <family val="2"/>
        <scheme val="minor"/>
      </rPr>
      <t xml:space="preserve">Assumed increased by 20% in line with increase in overdose risk. </t>
    </r>
    <r>
      <rPr>
        <sz val="11"/>
        <color theme="1"/>
        <rFont val="Calibri"/>
        <family val="2"/>
        <scheme val="minor"/>
      </rPr>
      <t>Unexpected drug identifed or inconclusive result (CanTEST 2023 evaluation pg 45; +- 0.2 CI added)</t>
    </r>
  </si>
  <si>
    <r>
      <t xml:space="preserve">Numerator: based on CanTEST number of unique IDs, assuming 76.1% people from ACT (personal communication) and 2%  for heroin (CanTEST 2023 evaluation, proportion of clientele who provided heroin for testing), </t>
    </r>
    <r>
      <rPr>
        <sz val="11"/>
        <color rgb="FF0070C0"/>
        <rFont val="Calibri"/>
        <family val="2"/>
        <scheme val="minor"/>
      </rPr>
      <t>plus assuming 5 people covered for each person reached (in place of 2 under standard conditions).</t>
    </r>
    <r>
      <rPr>
        <sz val="11"/>
        <color theme="1"/>
        <rFont val="Calibri"/>
        <family val="2"/>
        <scheme val="minor"/>
      </rPr>
      <t xml:space="preserve"> Denominator: population of PWID-opioids. </t>
    </r>
  </si>
  <si>
    <r>
      <rPr>
        <sz val="11"/>
        <color rgb="FF0070C0"/>
        <rFont val="Calibri"/>
        <family val="2"/>
        <scheme val="minor"/>
      </rPr>
      <t xml:space="preserve">Assume overdose risk increases by 20%. </t>
    </r>
    <r>
      <rPr>
        <sz val="11"/>
        <color theme="1"/>
        <rFont val="Calibri"/>
        <family val="2"/>
        <scheme val="minor"/>
      </rPr>
      <t>non-fatal stimulant overdose (Source: EDRS ACT, pg 7). Assume that behaviour change has a RR of 0.8 (0.7-0.9). Reconciled based on current prevalence of outcome and conditions.</t>
    </r>
  </si>
  <si>
    <r>
      <rPr>
        <sz val="11"/>
        <color rgb="FF0070C0"/>
        <rFont val="Calibri"/>
        <family val="2"/>
        <scheme val="minor"/>
      </rPr>
      <t>Assume probability of death from overdose matches heroin</t>
    </r>
    <r>
      <rPr>
        <sz val="11"/>
        <color theme="1"/>
        <rFont val="Calibri"/>
        <family val="2"/>
        <scheme val="minor"/>
      </rPr>
      <t>. Probabilities estimated based on estimated probability of death for all non-opioid overdoses through non-injecting routes, effect sizes for conditions in isolation, and current coverage or prevalence of conditions. Emergency response: assumed RR=0.08 as per injected opioids.</t>
    </r>
  </si>
  <si>
    <t>Midpoint of range: Canadian trial-based economic evaluation (SALOME), Canadian safer supply program evaluation (Gomes 2022)</t>
  </si>
  <si>
    <t>Cost per service user based on CanTEST 2023-24 data and assuming 2 people covered for each person reached</t>
  </si>
  <si>
    <t>Annual cost per OAT patient. Source: Australian trial-based economic evaluation (Doran 2003)</t>
  </si>
  <si>
    <t>Cost per supervised injection adjusted based on 238 injections per year, assuming 108 are covered in DRC</t>
  </si>
  <si>
    <t>Upper limit: estimated cost for hotline based on 5 FTE nurses at maximum coverage, assuming 50% of injections are covered. Lower limit: assuming 50,000 in start up costs divided by 300 PY covered at scale up</t>
  </si>
  <si>
    <t>Expenditure for ACT ambulance services in 2022-23 ($87,488,000) divided by the total number of ambulance responses (65,715). Adjusted for the proportion of ACT ambulance revenue that is from government funding (86.1%). Report on Government Services 2024 ((https://www.pc.gov.au/ongoing/report-on-government-services/2024/data-downloads)</t>
  </si>
  <si>
    <t>Value of a statistical life year (source: The Office of Impact Analysis, Department of the Prime Minister and Cabinet; 2024 [cited 2024 Dec 3]. Available from: https://oia.pmc.gov.au/resources/guidance-assessing-impacts/value-statistical-life) converted to years of life lost based on the age and sex distribution of overdose deaths and age- and sex-specific expected years of remaining life from ABS mortality rate medium projections, adjusted for additional drug-related mortality.</t>
  </si>
  <si>
    <t>2022-23 NSP budget (Directions program data) divided by estimated coverage (IDRS ACT 2023)</t>
  </si>
  <si>
    <t>Midpoint of range given commodity only and top-down estimate from CAHMA 2021-22 budget including training and distribution costs. Annualised cost adjusted based on assumption of refill every 2 years</t>
  </si>
  <si>
    <t>Mid-point of range. Upper limit: estimated cost for hotline based on 5 FTE nurses at maximum coverage, assuming 50% of injections are covered. Lower limit: assuming 50,000 in start up costs divided by 300 PY covered at scale up</t>
  </si>
  <si>
    <r>
      <t xml:space="preserve">Cost per service user based on CanTEST 2023-24 data and </t>
    </r>
    <r>
      <rPr>
        <sz val="11"/>
        <color rgb="FF0070C0"/>
        <rFont val="Calibri"/>
        <family val="2"/>
        <scheme val="minor"/>
      </rPr>
      <t>assuming 5 people covered for each person reached</t>
    </r>
  </si>
  <si>
    <t>90% among methamphetamine users who also use heroin</t>
  </si>
  <si>
    <t>Assume only rolled out for opioid users. (Alternative, 47% based on % who used alone at last injection [IDRS ACT 2023, data request received 3/12/2024])</t>
  </si>
  <si>
    <t>Adjusted the 90% max coverage for PWID_opioids  from above for the proportion of all PWID who use opioids and who have probable opioid dependence</t>
  </si>
  <si>
    <t>Assume can reach double coverage with two sites in nurse/peer-led model</t>
  </si>
  <si>
    <t>Assume only relevant for people injecting opioids</t>
  </si>
  <si>
    <r>
      <t xml:space="preserve">Based on % who used alone at last injection (IDRS ACT 2023, data request received 3/12/2024) and </t>
    </r>
    <r>
      <rPr>
        <sz val="11"/>
        <color rgb="FF0070C0"/>
        <rFont val="Calibri"/>
        <family val="2"/>
        <scheme val="minor"/>
      </rPr>
      <t xml:space="preserve">assuming 40% acceptability (double the acceptability due to increase in overdose risk and awareness) </t>
    </r>
  </si>
  <si>
    <t xml:space="preserve">Cost per treatment course (PBS 2024) and assumed required for all those with incident infections. 5% p.a. discounting applied based on assumption of two year delay between infection and treatment. Based on SuperMIX, the median time-to-treatment was 2.3 years for people who inject drugs who tested positive over 2016-2021. Time from diagnosis to treatment is likely to have further reduced with scale of DAA treatment. However, delay from infection to diagnosis is not know. </t>
  </si>
  <si>
    <r>
      <rPr>
        <sz val="11"/>
        <rFont val="Calibri"/>
        <family val="2"/>
        <scheme val="minor"/>
      </rPr>
      <t xml:space="preserve">Modelled combination of interventions were implemented such that OAT and SOS were not scaled up together due to overlapping function. </t>
    </r>
    <r>
      <rPr>
        <sz val="11"/>
        <color rgb="FF0070C0"/>
        <rFont val="Calibri"/>
        <family val="2"/>
        <scheme val="minor"/>
      </rPr>
      <t xml:space="preserve">Assumes 20% increase in baseline rate of overdose. </t>
    </r>
  </si>
  <si>
    <r>
      <t xml:space="preserve">Numerator: Based on CanTEST program data, of which 76.2% from ACT and 3% provided methamphetamines, assuming </t>
    </r>
    <r>
      <rPr>
        <sz val="11"/>
        <color theme="4"/>
        <rFont val="Calibri"/>
        <family val="2"/>
        <scheme val="minor"/>
      </rPr>
      <t xml:space="preserve">5 ppl covered </t>
    </r>
    <r>
      <rPr>
        <sz val="11"/>
        <color theme="1"/>
        <rFont val="Calibri"/>
        <family val="2"/>
        <scheme val="minor"/>
      </rPr>
      <t>for each person reached.  Denominator: PWID-meth popn size</t>
    </r>
  </si>
  <si>
    <t xml:space="preserve">Assumed always emergency response always initated if using the app, and app is used for 60% of drug-taking episodes. No cost or effect of naloxone for non-opioid overdose modelled and final model only considered use of technological interventions among people who inject opioids. </t>
  </si>
  <si>
    <t xml:space="preserve">Assumed always emergency response always initated if using the app, and app is used for 60% of drug-taking episodes. Final model only considered use of technological interventions among people who inject opioids. </t>
  </si>
  <si>
    <t xml:space="preserve">Assumed emergency response always initated if using the app, and app is used for 60% of drug-taking episodes.  Final model did not consider the impact of technological interventions nor community naloxone administration for non-opioid overdose among people who use drugs through non-injecting routes. </t>
  </si>
  <si>
    <t xml:space="preserve">Assumed emergency response always initated if using the app, and app is used for 60% of drug-taking episodes.   Final model did not consider the impact of technological interventions nor community naloxone administration for non-opioid overdose among people who use drugs through non-injecting routes. </t>
  </si>
  <si>
    <r>
      <t xml:space="preserve">Among those who have received naloxone, 52-71% often or always have naloxone on hand when using opioids (IDRS ACT 2023). Assumed same as among people who inject opioids because question was asked to all IDRS respondents. </t>
    </r>
    <r>
      <rPr>
        <sz val="11"/>
        <color theme="1"/>
        <rFont val="Calibri"/>
        <family val="2"/>
        <scheme val="minor"/>
      </rPr>
      <t xml:space="preserve">No cost or effect of naloxone for non-opioid overdose modelled. </t>
    </r>
  </si>
  <si>
    <t xml:space="preserve">Estimated based on % non-opioid overdose  (IDRS ACT 2023) + % overdose from stimulants-methamphetamines (EDRS ACT 2023); number of ambulance attendances for all methamphetamines (AIHW). Assuming only half of ambulances are specific to drug toxicity (based of cause of death, Stronach 2024). No cost or effect of naloxone for non-opioid overdose modelled. </t>
  </si>
  <si>
    <r>
      <t xml:space="preserve">Based on number of ambulance attendances for methamphetamine (assuming  50% are for drug toxicity) and benzodiazepines divided by estimated number of overdoses. (Source: Alcohol, tobacco and other drugs in Australia 2024, Drug types, supplementary tables S2.10; EDRS ACT 2023).  </t>
    </r>
    <r>
      <rPr>
        <sz val="11"/>
        <color theme="1"/>
        <rFont val="Calibri"/>
        <family val="2"/>
        <scheme val="minor"/>
      </rPr>
      <t xml:space="preserve">Final model did not consider the impact of technological interventions nor community naloxone administration for non-opioid overdose among people who use drugs through non-injecting routes.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</si>
</sst>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
    <numFmt numFmtId="167" formatCode="0.0000%"/>
    <numFmt numFmtId="168" formatCode="0.0000"/>
    <numFmt numFmtId="169" formatCode="0.00000"/>
  </numFmts>
  <fonts count="14"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11"/>
      <name val="Calibri"/>
      <family val="2"/>
    </font>
    <font>
      <sz val="9"/>
      <color indexed="81"/>
      <name val="Tahoma"/>
      <family val="2"/>
    </font>
    <font>
      <b/>
      <sz val="9"/>
      <color indexed="81"/>
      <name val="Tahoma"/>
      <family val="2"/>
    </font>
    <font>
      <sz val="11"/>
      <name val="Calibri"/>
      <family val="2"/>
    </font>
    <font>
      <sz val="11"/>
      <color rgb="FF0070C0"/>
      <name val="Calibri"/>
      <family val="2"/>
      <scheme val="minor"/>
    </font>
    <font>
      <sz val="11"/>
      <color rgb="FF0070C0"/>
      <name val="Calibri"/>
      <family val="2"/>
    </font>
    <font>
      <sz val="11"/>
      <color theme="1"/>
      <name val="Calibri"/>
      <family val="2"/>
    </font>
    <font>
      <sz val="11"/>
      <color theme="4"/>
      <name val="Calibri"/>
      <family val="2"/>
      <scheme val="minor"/>
    </font>
  </fonts>
  <fills count="3">
    <fill>
      <patternFill patternType="none"/>
    </fill>
    <fill>
      <patternFill patternType="gray125"/>
    </fill>
    <fill>
      <patternFill patternType="solid">
        <fgColor theme="7" tint="0.79998168889431442"/>
        <bgColor indexed="64"/>
      </patternFill>
    </fill>
  </fills>
  <borders count="26">
    <border>
      <left/>
      <right/>
      <top/>
      <bottom/>
      <diagonal/>
    </border>
    <border>
      <left style="medium">
        <color auto="1"/>
      </left>
      <right style="medium">
        <color auto="1"/>
      </right>
      <top style="medium">
        <color auto="1"/>
      </top>
      <bottom style="medium">
        <color auto="1"/>
      </bottom>
      <diagonal/>
    </border>
    <border>
      <left style="dashed">
        <color auto="1"/>
      </left>
      <right/>
      <top/>
      <bottom/>
      <diagonal/>
    </border>
    <border>
      <left/>
      <right style="thin">
        <color auto="1"/>
      </right>
      <top/>
      <bottom/>
      <diagonal/>
    </border>
    <border>
      <left/>
      <right/>
      <top/>
      <bottom style="thin">
        <color auto="1"/>
      </bottom>
      <diagonal/>
    </border>
    <border>
      <left style="dashed">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style="dashed">
        <color auto="1"/>
      </left>
      <right style="dashed">
        <color auto="1"/>
      </right>
      <top style="medium">
        <color auto="1"/>
      </top>
      <bottom/>
      <diagonal/>
    </border>
    <border>
      <left style="dashed">
        <color auto="1"/>
      </left>
      <right style="dashed">
        <color auto="1"/>
      </right>
      <top/>
      <bottom/>
      <diagonal/>
    </border>
    <border>
      <left style="dashed">
        <color auto="1"/>
      </left>
      <right style="dashed">
        <color auto="1"/>
      </right>
      <top/>
      <bottom style="thin">
        <color auto="1"/>
      </bottom>
      <diagonal/>
    </border>
    <border>
      <left style="thin">
        <color auto="1"/>
      </left>
      <right style="thin">
        <color indexed="64"/>
      </right>
      <top/>
      <bottom style="thin">
        <color indexed="64"/>
      </bottom>
      <diagonal/>
    </border>
    <border>
      <left style="thin">
        <color auto="1"/>
      </left>
      <right style="thin">
        <color indexed="64"/>
      </right>
      <top/>
      <bottom/>
      <diagonal/>
    </border>
    <border>
      <left style="medium">
        <color auto="1"/>
      </left>
      <right style="thin">
        <color indexed="64"/>
      </right>
      <top style="medium">
        <color auto="1"/>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indexed="64"/>
      </right>
      <top style="thick">
        <color auto="1"/>
      </top>
      <bottom style="medium">
        <color auto="1"/>
      </bottom>
      <diagonal/>
    </border>
    <border>
      <left style="thin">
        <color auto="1"/>
      </left>
      <right style="thin">
        <color indexed="64"/>
      </right>
      <top style="medium">
        <color auto="1"/>
      </top>
      <bottom/>
      <diagonal/>
    </border>
    <border>
      <left style="medium">
        <color auto="1"/>
      </left>
      <right style="thin">
        <color indexed="64"/>
      </right>
      <top/>
      <bottom style="medium">
        <color auto="1"/>
      </bottom>
      <diagonal/>
    </border>
    <border>
      <left/>
      <right style="dashed">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medium">
        <color auto="1"/>
      </bottom>
      <diagonal/>
    </border>
    <border>
      <left/>
      <right style="dashed">
        <color auto="1"/>
      </right>
      <top/>
      <bottom style="thin">
        <color auto="1"/>
      </bottom>
      <diagonal/>
    </border>
  </borders>
  <cellStyleXfs count="4">
    <xf numFmtId="0" fontId="0" fillId="0" borderId="0"/>
    <xf numFmtId="0" fontId="2" fillId="0" borderId="0"/>
    <xf numFmtId="9" fontId="2" fillId="0" borderId="0" applyFont="0" applyFill="0" applyBorder="0" applyAlignment="0" applyProtection="0"/>
    <xf numFmtId="9" fontId="2" fillId="0" borderId="0" applyFont="0" applyFill="0" applyBorder="0" applyAlignment="0" applyProtection="0"/>
  </cellStyleXfs>
  <cellXfs count="119">
    <xf numFmtId="0" fontId="0" fillId="0" borderId="0" xfId="0"/>
    <xf numFmtId="0" fontId="1" fillId="0" borderId="1" xfId="0" applyFont="1" applyBorder="1"/>
    <xf numFmtId="0" fontId="1" fillId="0" borderId="2" xfId="0" applyFont="1" applyBorder="1"/>
    <xf numFmtId="0" fontId="0" fillId="0" borderId="2" xfId="0" applyBorder="1"/>
    <xf numFmtId="0" fontId="0" fillId="0" borderId="3" xfId="0" applyBorder="1"/>
    <xf numFmtId="0" fontId="0" fillId="0" borderId="4" xfId="0" applyBorder="1"/>
    <xf numFmtId="0" fontId="1" fillId="0" borderId="5" xfId="0" applyFont="1" applyBorder="1"/>
    <xf numFmtId="0" fontId="0" fillId="0" borderId="6" xfId="0" applyBorder="1"/>
    <xf numFmtId="0" fontId="0" fillId="0" borderId="7" xfId="0" applyBorder="1"/>
    <xf numFmtId="0" fontId="0" fillId="0" borderId="8" xfId="0" applyBorder="1"/>
    <xf numFmtId="0" fontId="4" fillId="0" borderId="0" xfId="0" applyFont="1"/>
    <xf numFmtId="2" fontId="0" fillId="0" borderId="3" xfId="0" applyNumberFormat="1" applyBorder="1"/>
    <xf numFmtId="0" fontId="0" fillId="0" borderId="0" xfId="0" applyAlignment="1">
      <alignment wrapText="1"/>
    </xf>
    <xf numFmtId="9" fontId="0" fillId="0" borderId="3" xfId="0" applyNumberFormat="1" applyBorder="1"/>
    <xf numFmtId="0" fontId="4" fillId="0" borderId="0" xfId="0" applyFont="1" applyAlignment="1">
      <alignment wrapText="1"/>
    </xf>
    <xf numFmtId="9" fontId="0" fillId="0" borderId="3" xfId="3" applyFont="1" applyBorder="1"/>
    <xf numFmtId="0" fontId="6" fillId="0" borderId="1" xfId="0" applyFont="1" applyBorder="1"/>
    <xf numFmtId="0" fontId="0" fillId="0" borderId="9" xfId="0" applyBorder="1"/>
    <xf numFmtId="0" fontId="0" fillId="0" borderId="10" xfId="0" applyBorder="1"/>
    <xf numFmtId="2" fontId="0" fillId="0" borderId="10" xfId="3" applyNumberFormat="1" applyFont="1" applyBorder="1"/>
    <xf numFmtId="2" fontId="0" fillId="0" borderId="10" xfId="0" applyNumberFormat="1" applyBorder="1"/>
    <xf numFmtId="168" fontId="0" fillId="0" borderId="10" xfId="3" applyNumberFormat="1" applyFont="1" applyBorder="1"/>
    <xf numFmtId="165" fontId="0" fillId="0" borderId="10" xfId="0" applyNumberFormat="1" applyBorder="1"/>
    <xf numFmtId="169" fontId="0" fillId="0" borderId="10" xfId="0" applyNumberFormat="1" applyBorder="1"/>
    <xf numFmtId="0" fontId="0" fillId="0" borderId="11" xfId="0" applyBorder="1"/>
    <xf numFmtId="168" fontId="0" fillId="0" borderId="10" xfId="0" applyNumberFormat="1" applyBorder="1"/>
    <xf numFmtId="10" fontId="0" fillId="0" borderId="10" xfId="3" applyNumberFormat="1" applyFont="1" applyBorder="1"/>
    <xf numFmtId="9" fontId="0" fillId="0" borderId="3" xfId="0" applyNumberFormat="1" applyBorder="1" applyAlignment="1">
      <alignment vertical="top"/>
    </xf>
    <xf numFmtId="1" fontId="0" fillId="0" borderId="3" xfId="0" applyNumberFormat="1" applyBorder="1"/>
    <xf numFmtId="1" fontId="0" fillId="0" borderId="6" xfId="0" applyNumberFormat="1" applyBorder="1"/>
    <xf numFmtId="169" fontId="0" fillId="0" borderId="10" xfId="3" applyNumberFormat="1" applyFont="1" applyBorder="1"/>
    <xf numFmtId="0" fontId="0" fillId="2" borderId="0" xfId="0" applyFill="1"/>
    <xf numFmtId="0" fontId="1" fillId="2" borderId="2" xfId="0" applyFont="1" applyFill="1" applyBorder="1"/>
    <xf numFmtId="0" fontId="0" fillId="2" borderId="10" xfId="0" applyFill="1" applyBorder="1"/>
    <xf numFmtId="0" fontId="0" fillId="2" borderId="3" xfId="0" applyFill="1" applyBorder="1"/>
    <xf numFmtId="10" fontId="0" fillId="0" borderId="12" xfId="0" applyNumberFormat="1" applyBorder="1"/>
    <xf numFmtId="10" fontId="0" fillId="0" borderId="0" xfId="3" applyNumberFormat="1" applyFont="1" applyFill="1"/>
    <xf numFmtId="164" fontId="4" fillId="0" borderId="13" xfId="0" applyNumberFormat="1" applyFont="1" applyBorder="1"/>
    <xf numFmtId="164" fontId="0" fillId="0" borderId="13" xfId="0" applyNumberFormat="1" applyBorder="1"/>
    <xf numFmtId="10" fontId="0" fillId="0" borderId="13" xfId="3" applyNumberFormat="1" applyFont="1" applyFill="1" applyBorder="1"/>
    <xf numFmtId="0" fontId="0" fillId="0" borderId="13" xfId="0" applyBorder="1"/>
    <xf numFmtId="10" fontId="0" fillId="0" borderId="13" xfId="0" applyNumberFormat="1" applyBorder="1"/>
    <xf numFmtId="0" fontId="1" fillId="0" borderId="14" xfId="0" applyFont="1" applyBorder="1"/>
    <xf numFmtId="166" fontId="0" fillId="0" borderId="13" xfId="0" applyNumberFormat="1" applyBorder="1"/>
    <xf numFmtId="168" fontId="0" fillId="2" borderId="10" xfId="0" applyNumberFormat="1" applyFill="1" applyBorder="1"/>
    <xf numFmtId="164" fontId="0" fillId="2" borderId="10" xfId="0" applyNumberFormat="1" applyFill="1" applyBorder="1"/>
    <xf numFmtId="164" fontId="0" fillId="2" borderId="10" xfId="3" applyNumberFormat="1" applyFont="1" applyFill="1" applyBorder="1"/>
    <xf numFmtId="2" fontId="0" fillId="2" borderId="10" xfId="0" applyNumberFormat="1" applyFill="1" applyBorder="1"/>
    <xf numFmtId="2" fontId="0" fillId="2" borderId="10" xfId="3" applyNumberFormat="1" applyFont="1" applyFill="1" applyBorder="1"/>
    <xf numFmtId="168" fontId="0" fillId="2" borderId="10" xfId="3" applyNumberFormat="1" applyFont="1" applyFill="1" applyBorder="1"/>
    <xf numFmtId="165" fontId="0" fillId="2" borderId="10" xfId="0" applyNumberFormat="1" applyFill="1" applyBorder="1"/>
    <xf numFmtId="1" fontId="0" fillId="0" borderId="10" xfId="3" applyNumberFormat="1" applyFont="1" applyFill="1" applyBorder="1"/>
    <xf numFmtId="168" fontId="0" fillId="0" borderId="10" xfId="3" applyNumberFormat="1" applyFont="1" applyFill="1" applyBorder="1"/>
    <xf numFmtId="0" fontId="4" fillId="0" borderId="10" xfId="0" applyFont="1" applyBorder="1"/>
    <xf numFmtId="165" fontId="0" fillId="2" borderId="10" xfId="3" applyNumberFormat="1" applyFont="1" applyFill="1" applyBorder="1"/>
    <xf numFmtId="165" fontId="4" fillId="0" borderId="10" xfId="0" applyNumberFormat="1" applyFont="1" applyBorder="1"/>
    <xf numFmtId="0" fontId="4" fillId="0" borderId="3" xfId="0" applyFont="1" applyBorder="1"/>
    <xf numFmtId="0" fontId="6" fillId="2" borderId="2" xfId="0" applyFont="1" applyFill="1" applyBorder="1"/>
    <xf numFmtId="0" fontId="3" fillId="2" borderId="3" xfId="0" applyFont="1" applyFill="1" applyBorder="1"/>
    <xf numFmtId="9" fontId="0" fillId="2" borderId="0" xfId="3" applyFont="1" applyFill="1"/>
    <xf numFmtId="169" fontId="0" fillId="2" borderId="10" xfId="0" applyNumberFormat="1" applyFill="1" applyBorder="1"/>
    <xf numFmtId="0" fontId="0" fillId="2" borderId="7" xfId="0" applyFill="1" applyBorder="1"/>
    <xf numFmtId="1" fontId="0" fillId="2" borderId="3" xfId="0" applyNumberFormat="1" applyFill="1" applyBorder="1"/>
    <xf numFmtId="0" fontId="9" fillId="0" borderId="2" xfId="0" applyFont="1" applyBorder="1"/>
    <xf numFmtId="9" fontId="10" fillId="2" borderId="3" xfId="0" applyNumberFormat="1" applyFont="1" applyFill="1" applyBorder="1"/>
    <xf numFmtId="9" fontId="0" fillId="2" borderId="3" xfId="0" applyNumberFormat="1" applyFill="1" applyBorder="1"/>
    <xf numFmtId="0" fontId="4" fillId="0" borderId="4" xfId="0" applyFont="1" applyBorder="1"/>
    <xf numFmtId="9" fontId="0" fillId="0" borderId="6" xfId="0" applyNumberFormat="1" applyBorder="1"/>
    <xf numFmtId="0" fontId="0" fillId="2" borderId="3" xfId="0" applyFill="1" applyBorder="1" applyAlignment="1">
      <alignment wrapText="1"/>
    </xf>
    <xf numFmtId="0" fontId="1" fillId="0" borderId="17" xfId="0" applyFont="1" applyBorder="1" applyAlignment="1">
      <alignment wrapText="1"/>
    </xf>
    <xf numFmtId="0" fontId="0" fillId="0" borderId="3" xfId="0" applyBorder="1" applyAlignment="1">
      <alignment wrapText="1"/>
    </xf>
    <xf numFmtId="0" fontId="0" fillId="0" borderId="3" xfId="0" applyBorder="1" applyAlignment="1">
      <alignment vertical="top" wrapText="1"/>
    </xf>
    <xf numFmtId="0" fontId="4" fillId="2" borderId="3" xfId="0" applyFont="1" applyFill="1" applyBorder="1" applyAlignment="1">
      <alignment wrapText="1"/>
    </xf>
    <xf numFmtId="0" fontId="4" fillId="0" borderId="3" xfId="0" applyFont="1" applyBorder="1" applyAlignment="1">
      <alignment wrapText="1"/>
    </xf>
    <xf numFmtId="0" fontId="4" fillId="0" borderId="3" xfId="0" applyFont="1" applyBorder="1" applyAlignment="1">
      <alignment vertical="top" wrapText="1"/>
    </xf>
    <xf numFmtId="0" fontId="4" fillId="0" borderId="6" xfId="0" applyFont="1" applyBorder="1" applyAlignment="1">
      <alignment wrapText="1"/>
    </xf>
    <xf numFmtId="0" fontId="0" fillId="0" borderId="18" xfId="0" applyBorder="1"/>
    <xf numFmtId="10" fontId="0" fillId="0" borderId="18" xfId="3" applyNumberFormat="1" applyFont="1" applyBorder="1"/>
    <xf numFmtId="9" fontId="0" fillId="0" borderId="13" xfId="3" applyFont="1" applyBorder="1"/>
    <xf numFmtId="10" fontId="0" fillId="0" borderId="13" xfId="3" applyNumberFormat="1" applyFont="1" applyBorder="1"/>
    <xf numFmtId="167" fontId="4" fillId="0" borderId="13" xfId="0" applyNumberFormat="1" applyFont="1" applyBorder="1"/>
    <xf numFmtId="166" fontId="4" fillId="0" borderId="13" xfId="0" applyNumberFormat="1" applyFont="1" applyBorder="1"/>
    <xf numFmtId="9" fontId="4" fillId="0" borderId="13" xfId="3" applyFont="1" applyFill="1" applyBorder="1"/>
    <xf numFmtId="10" fontId="4" fillId="0" borderId="13" xfId="0" applyNumberFormat="1" applyFont="1" applyBorder="1"/>
    <xf numFmtId="0" fontId="0" fillId="0" borderId="12" xfId="0" applyBorder="1"/>
    <xf numFmtId="0" fontId="0" fillId="0" borderId="6" xfId="0" applyBorder="1" applyAlignment="1">
      <alignment wrapText="1"/>
    </xf>
    <xf numFmtId="3" fontId="0" fillId="0" borderId="18" xfId="0" applyNumberFormat="1" applyBorder="1"/>
    <xf numFmtId="3" fontId="0" fillId="0" borderId="13" xfId="0" applyNumberFormat="1" applyBorder="1"/>
    <xf numFmtId="3" fontId="0" fillId="0" borderId="12" xfId="0" applyNumberFormat="1" applyBorder="1"/>
    <xf numFmtId="0" fontId="0" fillId="2" borderId="0" xfId="0" applyFill="1" applyAlignment="1">
      <alignment wrapText="1"/>
    </xf>
    <xf numFmtId="0" fontId="1" fillId="0" borderId="19" xfId="0" applyFont="1" applyBorder="1" applyAlignment="1">
      <alignment wrapText="1"/>
    </xf>
    <xf numFmtId="0" fontId="5" fillId="0" borderId="3" xfId="0" applyFont="1" applyBorder="1" applyAlignment="1">
      <alignment wrapText="1"/>
    </xf>
    <xf numFmtId="3" fontId="0" fillId="0" borderId="3" xfId="0" applyNumberFormat="1" applyBorder="1"/>
    <xf numFmtId="3" fontId="0" fillId="2" borderId="3" xfId="0" applyNumberFormat="1" applyFill="1" applyBorder="1"/>
    <xf numFmtId="3" fontId="0" fillId="0" borderId="6" xfId="0" applyNumberFormat="1" applyBorder="1"/>
    <xf numFmtId="0" fontId="0" fillId="0" borderId="0" xfId="0" applyFill="1"/>
    <xf numFmtId="0" fontId="1" fillId="0" borderId="15" xfId="0" applyFont="1" applyBorder="1" applyAlignment="1">
      <alignment wrapText="1"/>
    </xf>
    <xf numFmtId="0" fontId="0" fillId="0" borderId="15" xfId="0" applyBorder="1" applyAlignment="1">
      <alignment wrapText="1"/>
    </xf>
    <xf numFmtId="0" fontId="0" fillId="2" borderId="15" xfId="0" applyFill="1" applyBorder="1" applyAlignment="1">
      <alignment wrapText="1"/>
    </xf>
    <xf numFmtId="0" fontId="4" fillId="0" borderId="15" xfId="0" applyFont="1" applyBorder="1" applyAlignment="1">
      <alignment wrapText="1"/>
    </xf>
    <xf numFmtId="0" fontId="4" fillId="2" borderId="15" xfId="0" applyFont="1" applyFill="1" applyBorder="1" applyAlignment="1">
      <alignment wrapText="1"/>
    </xf>
    <xf numFmtId="0" fontId="5" fillId="2" borderId="15" xfId="0" applyFont="1" applyFill="1" applyBorder="1" applyAlignment="1">
      <alignment wrapText="1"/>
    </xf>
    <xf numFmtId="0" fontId="9" fillId="0" borderId="15" xfId="0" applyFont="1" applyBorder="1" applyAlignment="1">
      <alignment wrapText="1"/>
    </xf>
    <xf numFmtId="0" fontId="0" fillId="0" borderId="15" xfId="0" applyFont="1" applyBorder="1" applyAlignment="1">
      <alignment wrapText="1"/>
    </xf>
    <xf numFmtId="0" fontId="12" fillId="0" borderId="15" xfId="0" applyFont="1" applyBorder="1" applyAlignment="1">
      <alignment wrapText="1"/>
    </xf>
    <xf numFmtId="0" fontId="9" fillId="2" borderId="15" xfId="0" applyFont="1" applyFill="1" applyBorder="1" applyAlignment="1">
      <alignment wrapText="1"/>
    </xf>
    <xf numFmtId="0" fontId="0" fillId="0" borderId="16" xfId="0" applyBorder="1" applyAlignment="1">
      <alignment wrapText="1"/>
    </xf>
    <xf numFmtId="0" fontId="1" fillId="0" borderId="0" xfId="0" applyFont="1" applyBorder="1"/>
    <xf numFmtId="0" fontId="1" fillId="2" borderId="0" xfId="0" applyFont="1" applyFill="1" applyBorder="1"/>
    <xf numFmtId="0" fontId="0" fillId="0" borderId="20" xfId="0" applyBorder="1"/>
    <xf numFmtId="0" fontId="0" fillId="2" borderId="20" xfId="0" applyFill="1" applyBorder="1"/>
    <xf numFmtId="0" fontId="1" fillId="0" borderId="21" xfId="0" applyFont="1" applyBorder="1"/>
    <xf numFmtId="0" fontId="1" fillId="0" borderId="22" xfId="0" applyFont="1" applyBorder="1"/>
    <xf numFmtId="0" fontId="1" fillId="0" borderId="4" xfId="0" applyFont="1" applyBorder="1"/>
    <xf numFmtId="0" fontId="1" fillId="0" borderId="23" xfId="0" applyFont="1" applyBorder="1"/>
    <xf numFmtId="0" fontId="1" fillId="0" borderId="24" xfId="0" applyFont="1" applyBorder="1"/>
    <xf numFmtId="0" fontId="4" fillId="0" borderId="20" xfId="0" applyFont="1" applyBorder="1"/>
    <xf numFmtId="0" fontId="0" fillId="0" borderId="25" xfId="0" applyBorder="1"/>
    <xf numFmtId="0" fontId="0" fillId="0" borderId="10" xfId="0" applyFont="1" applyBorder="1"/>
  </cellXfs>
  <cellStyles count="4">
    <cellStyle name="Normal" xfId="0" builtinId="0"/>
    <cellStyle name="Normal 2 2" xfId="1" xr:uid="{D7A789E6-FA8C-4642-9A2C-5B7A7619550B}"/>
    <cellStyle name="Percent" xfId="3" builtinId="5"/>
    <cellStyle name="Percent 2" xfId="2" xr:uid="{E2A56F27-DC82-4649-A121-B84310643C6C}"/>
  </cellStyles>
  <dxfs count="3">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urnetinstitute.sharepoint.com/sites/WG-Modelling/Shared%20Documents/Other%20projects/ACT%20harm%20reduction/Working%20files/Databook/databook_20250924_standard_update.xlsx" TargetMode="External"/><Relationship Id="rId1" Type="http://schemas.openxmlformats.org/officeDocument/2006/relationships/externalLinkPath" Target="/sites/WG-Modelling/Shared%20Documents/Other%20projects/ACT%20harm%20reduction/Working%20files/Databook/databook_20250924_standard_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babilities"/>
      <sheetName val="evidence"/>
      <sheetName val="population_size"/>
      <sheetName val="costs"/>
      <sheetName val="#deaths"/>
      <sheetName val="max_coverage"/>
      <sheetName val="drug checking"/>
      <sheetName val="#comparison numbers"/>
      <sheetName val="#make_table"/>
      <sheetName val="#calc probability"/>
      <sheetName val="#calc probability_arch"/>
      <sheetName val="#working calcs"/>
      <sheetName val="#Draft impacts"/>
      <sheetName val="#scenarios"/>
    </sheetNames>
    <sheetDataSet>
      <sheetData sheetId="0" refreshError="1"/>
      <sheetData sheetId="1" refreshError="1"/>
      <sheetData sheetId="2" refreshError="1"/>
      <sheetData sheetId="3" refreshError="1"/>
      <sheetData sheetId="4">
        <row r="16">
          <cell r="C16">
            <v>3.2706766917293228E-3</v>
          </cell>
          <cell r="E16">
            <v>4.8701298701298701E-4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Y357"/>
  <sheetViews>
    <sheetView tabSelected="1" zoomScale="60" zoomScaleNormal="60" workbookViewId="0">
      <pane xSplit="5" ySplit="1" topLeftCell="F2" activePane="bottomRight" state="frozen"/>
      <selection pane="topRight" activeCell="F1" sqref="F1"/>
      <selection pane="bottomLeft" activeCell="A2" sqref="A2"/>
      <selection pane="bottomRight" activeCell="G126" sqref="G126:G130"/>
    </sheetView>
  </sheetViews>
  <sheetFormatPr defaultColWidth="8.796875" defaultRowHeight="14.25" x14ac:dyDescent="0.45"/>
  <cols>
    <col min="1" max="1" width="15.1328125" customWidth="1"/>
    <col min="2" max="3" width="26.796875" customWidth="1"/>
    <col min="4" max="4" width="12" customWidth="1"/>
    <col min="5" max="5" width="7.796875" bestFit="1" customWidth="1"/>
    <col min="6" max="6" width="11.796875" bestFit="1" customWidth="1"/>
    <col min="7" max="7" width="21" bestFit="1" customWidth="1"/>
    <col min="8" max="8" width="14" customWidth="1"/>
    <col min="9" max="9" width="12" customWidth="1"/>
    <col min="10" max="10" width="20.796875" customWidth="1"/>
    <col min="11" max="11" width="11" customWidth="1"/>
    <col min="12" max="12" width="24.796875" customWidth="1"/>
    <col min="13" max="13" width="8.1328125" customWidth="1"/>
    <col min="14" max="14" width="11" customWidth="1"/>
    <col min="15" max="15" width="8.1328125" customWidth="1"/>
    <col min="16" max="16" width="11" customWidth="1"/>
    <col min="17" max="17" width="7.1328125" customWidth="1"/>
    <col min="18" max="18" width="120.796875" style="12" customWidth="1"/>
    <col min="24" max="207" width="8.796875" style="95"/>
  </cols>
  <sheetData>
    <row r="1" spans="1:207" ht="14.65" thickBot="1" x14ac:dyDescent="0.5">
      <c r="A1" s="1" t="s">
        <v>0</v>
      </c>
      <c r="B1" s="1" t="s">
        <v>67</v>
      </c>
      <c r="C1" s="1" t="s">
        <v>1</v>
      </c>
      <c r="D1" s="1" t="s">
        <v>2</v>
      </c>
      <c r="E1" s="1" t="s">
        <v>3</v>
      </c>
      <c r="F1" s="1" t="s">
        <v>4</v>
      </c>
      <c r="G1" s="1" t="s">
        <v>5</v>
      </c>
      <c r="H1" s="1" t="s">
        <v>6</v>
      </c>
      <c r="I1" s="1" t="s">
        <v>7</v>
      </c>
      <c r="J1" s="1" t="s">
        <v>8</v>
      </c>
      <c r="K1" s="1" t="s">
        <v>9</v>
      </c>
      <c r="L1" s="1" t="s">
        <v>10</v>
      </c>
      <c r="M1" s="111" t="s">
        <v>11</v>
      </c>
      <c r="N1" s="114" t="s">
        <v>12</v>
      </c>
      <c r="O1" s="115" t="s">
        <v>13</v>
      </c>
      <c r="P1" s="112" t="s">
        <v>14</v>
      </c>
      <c r="Q1" s="1" t="s">
        <v>15</v>
      </c>
      <c r="R1" s="96" t="s">
        <v>84</v>
      </c>
    </row>
    <row r="2" spans="1:207" x14ac:dyDescent="0.45">
      <c r="A2" t="s">
        <v>16</v>
      </c>
      <c r="B2" t="s">
        <v>69</v>
      </c>
      <c r="C2" s="2" t="s">
        <v>17</v>
      </c>
      <c r="D2" t="s">
        <v>18</v>
      </c>
      <c r="E2" s="17">
        <v>1</v>
      </c>
      <c r="F2" s="17">
        <v>1</v>
      </c>
      <c r="G2" s="17">
        <v>1</v>
      </c>
      <c r="H2" s="2"/>
      <c r="J2" s="2"/>
      <c r="L2" s="2"/>
      <c r="N2" s="2"/>
      <c r="O2" s="109"/>
      <c r="P2" s="107"/>
      <c r="Q2" s="4"/>
      <c r="R2" s="97"/>
    </row>
    <row r="3" spans="1:207" x14ac:dyDescent="0.45">
      <c r="A3" t="s">
        <v>16</v>
      </c>
      <c r="B3" t="s">
        <v>69</v>
      </c>
      <c r="C3" s="2" t="s">
        <v>17</v>
      </c>
      <c r="D3" t="s">
        <v>19</v>
      </c>
      <c r="E3" s="18">
        <v>0</v>
      </c>
      <c r="F3" s="18">
        <v>0</v>
      </c>
      <c r="G3" s="18">
        <v>0</v>
      </c>
      <c r="H3" s="2"/>
      <c r="J3" s="2"/>
      <c r="L3" s="2"/>
      <c r="N3" s="2"/>
      <c r="O3" s="109"/>
      <c r="P3" s="107"/>
      <c r="Q3" s="4"/>
      <c r="R3" s="97" t="s">
        <v>85</v>
      </c>
    </row>
    <row r="4" spans="1:207" s="31" customFormat="1" x14ac:dyDescent="0.45">
      <c r="A4" s="31" t="s">
        <v>16</v>
      </c>
      <c r="B4" s="31" t="s">
        <v>69</v>
      </c>
      <c r="C4" s="32" t="s">
        <v>20</v>
      </c>
      <c r="D4" s="31" t="s">
        <v>18</v>
      </c>
      <c r="E4" s="47">
        <v>0.95300825</v>
      </c>
      <c r="F4" s="47">
        <v>0.93421155</v>
      </c>
      <c r="G4" s="47">
        <v>0.97180495</v>
      </c>
      <c r="H4" s="32"/>
      <c r="J4" s="32"/>
      <c r="L4" s="32"/>
      <c r="N4" s="32"/>
      <c r="O4" s="110"/>
      <c r="P4" s="108"/>
      <c r="Q4" s="34"/>
      <c r="R4" s="98"/>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5"/>
      <c r="CR4" s="95"/>
      <c r="CS4" s="95"/>
      <c r="CT4" s="95"/>
      <c r="CU4" s="95"/>
      <c r="CV4" s="95"/>
      <c r="CW4" s="95"/>
      <c r="CX4" s="95"/>
      <c r="CY4" s="95"/>
      <c r="CZ4" s="95"/>
      <c r="DA4" s="95"/>
      <c r="DB4" s="95"/>
      <c r="DC4" s="95"/>
      <c r="DD4" s="95"/>
      <c r="DE4" s="95"/>
      <c r="DF4" s="95"/>
      <c r="DG4" s="95"/>
      <c r="DH4" s="95"/>
      <c r="DI4" s="95"/>
      <c r="DJ4" s="95"/>
      <c r="DK4" s="95"/>
      <c r="DL4" s="95"/>
      <c r="DM4" s="95"/>
      <c r="DN4" s="95"/>
      <c r="DO4" s="95"/>
      <c r="DP4" s="95"/>
      <c r="DQ4" s="95"/>
      <c r="DR4" s="95"/>
      <c r="DS4" s="95"/>
      <c r="DT4" s="95"/>
      <c r="DU4" s="95"/>
      <c r="DV4" s="95"/>
      <c r="DW4" s="95"/>
      <c r="DX4" s="95"/>
      <c r="DY4" s="95"/>
      <c r="DZ4" s="95"/>
      <c r="EA4" s="95"/>
      <c r="EB4" s="95"/>
      <c r="EC4" s="95"/>
      <c r="ED4" s="95"/>
      <c r="EE4" s="95"/>
      <c r="EF4" s="95"/>
      <c r="EG4" s="95"/>
      <c r="EH4" s="95"/>
      <c r="EI4" s="95"/>
      <c r="EJ4" s="95"/>
      <c r="EK4" s="95"/>
      <c r="EL4" s="95"/>
      <c r="EM4" s="95"/>
      <c r="EN4" s="95"/>
      <c r="EO4" s="95"/>
      <c r="EP4" s="95"/>
      <c r="EQ4" s="95"/>
      <c r="ER4" s="95"/>
      <c r="ES4" s="95"/>
      <c r="ET4" s="95"/>
      <c r="EU4" s="95"/>
      <c r="EV4" s="95"/>
      <c r="EW4" s="95"/>
      <c r="EX4" s="95"/>
      <c r="EY4" s="95"/>
      <c r="EZ4" s="95"/>
      <c r="FA4" s="95"/>
      <c r="FB4" s="95"/>
      <c r="FC4" s="95"/>
      <c r="FD4" s="95"/>
      <c r="FE4" s="95"/>
      <c r="FF4" s="95"/>
      <c r="FG4" s="95"/>
      <c r="FH4" s="95"/>
      <c r="FI4" s="95"/>
      <c r="FJ4" s="95"/>
      <c r="FK4" s="95"/>
      <c r="FL4" s="95"/>
      <c r="FM4" s="95"/>
      <c r="FN4" s="95"/>
      <c r="FO4" s="95"/>
      <c r="FP4" s="95"/>
      <c r="FQ4" s="95"/>
      <c r="FR4" s="95"/>
      <c r="FS4" s="95"/>
      <c r="FT4" s="95"/>
      <c r="FU4" s="95"/>
      <c r="FV4" s="95"/>
      <c r="FW4" s="95"/>
      <c r="FX4" s="95"/>
      <c r="FY4" s="95"/>
      <c r="FZ4" s="95"/>
      <c r="GA4" s="95"/>
      <c r="GB4" s="95"/>
      <c r="GC4" s="95"/>
      <c r="GD4" s="95"/>
      <c r="GE4" s="95"/>
      <c r="GF4" s="95"/>
      <c r="GG4" s="95"/>
      <c r="GH4" s="95"/>
      <c r="GI4" s="95"/>
      <c r="GJ4" s="95"/>
      <c r="GK4" s="95"/>
      <c r="GL4" s="95"/>
      <c r="GM4" s="95"/>
      <c r="GN4" s="95"/>
      <c r="GO4" s="95"/>
      <c r="GP4" s="95"/>
      <c r="GQ4" s="95"/>
      <c r="GR4" s="95"/>
      <c r="GS4" s="95"/>
      <c r="GT4" s="95"/>
      <c r="GU4" s="95"/>
      <c r="GV4" s="95"/>
      <c r="GW4" s="95"/>
      <c r="GX4" s="95"/>
      <c r="GY4" s="95"/>
    </row>
    <row r="5" spans="1:207" s="31" customFormat="1" ht="42.75" x14ac:dyDescent="0.45">
      <c r="A5" s="31" t="s">
        <v>16</v>
      </c>
      <c r="B5" s="31" t="s">
        <v>69</v>
      </c>
      <c r="C5" s="32" t="s">
        <v>20</v>
      </c>
      <c r="D5" s="31" t="s">
        <v>21</v>
      </c>
      <c r="E5" s="48">
        <v>4.6991749999999999E-2</v>
      </c>
      <c r="F5" s="33">
        <v>2.8195049999999996E-2</v>
      </c>
      <c r="G5" s="33">
        <v>6.5788449999999984E-2</v>
      </c>
      <c r="H5" s="32"/>
      <c r="J5" s="32"/>
      <c r="L5" s="32"/>
      <c r="N5" s="32"/>
      <c r="O5" s="110"/>
      <c r="P5" s="108"/>
      <c r="Q5" s="34"/>
      <c r="R5" s="98" t="s">
        <v>210</v>
      </c>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c r="CY5" s="95"/>
      <c r="CZ5" s="95"/>
      <c r="DA5" s="95"/>
      <c r="DB5" s="95"/>
      <c r="DC5" s="95"/>
      <c r="DD5" s="95"/>
      <c r="DE5" s="95"/>
      <c r="DF5" s="95"/>
      <c r="DG5" s="95"/>
      <c r="DH5" s="95"/>
      <c r="DI5" s="95"/>
      <c r="DJ5" s="95"/>
      <c r="DK5" s="95"/>
      <c r="DL5" s="95"/>
      <c r="DM5" s="95"/>
      <c r="DN5" s="95"/>
      <c r="DO5" s="95"/>
      <c r="DP5" s="95"/>
      <c r="DQ5" s="95"/>
      <c r="DR5" s="95"/>
      <c r="DS5" s="95"/>
      <c r="DT5" s="95"/>
      <c r="DU5" s="95"/>
      <c r="DV5" s="95"/>
      <c r="DW5" s="95"/>
      <c r="DX5" s="95"/>
      <c r="DY5" s="95"/>
      <c r="DZ5" s="95"/>
      <c r="EA5" s="95"/>
      <c r="EB5" s="95"/>
      <c r="EC5" s="95"/>
      <c r="ED5" s="95"/>
      <c r="EE5" s="95"/>
      <c r="EF5" s="95"/>
      <c r="EG5" s="95"/>
      <c r="EH5" s="95"/>
      <c r="EI5" s="95"/>
      <c r="EJ5" s="95"/>
      <c r="EK5" s="95"/>
      <c r="EL5" s="95"/>
      <c r="EM5" s="95"/>
      <c r="EN5" s="95"/>
      <c r="EO5" s="95"/>
      <c r="EP5" s="95"/>
      <c r="EQ5" s="95"/>
      <c r="ER5" s="95"/>
      <c r="ES5" s="95"/>
      <c r="ET5" s="95"/>
      <c r="EU5" s="95"/>
      <c r="EV5" s="95"/>
      <c r="EW5" s="95"/>
      <c r="EX5" s="95"/>
      <c r="EY5" s="95"/>
      <c r="EZ5" s="95"/>
      <c r="FA5" s="95"/>
      <c r="FB5" s="95"/>
      <c r="FC5" s="95"/>
      <c r="FD5" s="95"/>
      <c r="FE5" s="95"/>
      <c r="FF5" s="95"/>
      <c r="FG5" s="95"/>
      <c r="FH5" s="95"/>
      <c r="FI5" s="95"/>
      <c r="FJ5" s="95"/>
      <c r="FK5" s="95"/>
      <c r="FL5" s="95"/>
      <c r="FM5" s="95"/>
      <c r="FN5" s="95"/>
      <c r="FO5" s="95"/>
      <c r="FP5" s="95"/>
      <c r="FQ5" s="95"/>
      <c r="FR5" s="95"/>
      <c r="FS5" s="95"/>
      <c r="FT5" s="95"/>
      <c r="FU5" s="95"/>
      <c r="FV5" s="95"/>
      <c r="FW5" s="95"/>
      <c r="FX5" s="95"/>
      <c r="FY5" s="95"/>
      <c r="FZ5" s="95"/>
      <c r="GA5" s="95"/>
      <c r="GB5" s="95"/>
      <c r="GC5" s="95"/>
      <c r="GD5" s="95"/>
      <c r="GE5" s="95"/>
      <c r="GF5" s="95"/>
      <c r="GG5" s="95"/>
      <c r="GH5" s="95"/>
      <c r="GI5" s="95"/>
      <c r="GJ5" s="95"/>
      <c r="GK5" s="95"/>
      <c r="GL5" s="95"/>
      <c r="GM5" s="95"/>
      <c r="GN5" s="95"/>
      <c r="GO5" s="95"/>
      <c r="GP5" s="95"/>
      <c r="GQ5" s="95"/>
      <c r="GR5" s="95"/>
      <c r="GS5" s="95"/>
      <c r="GT5" s="95"/>
      <c r="GU5" s="95"/>
      <c r="GV5" s="95"/>
      <c r="GW5" s="95"/>
      <c r="GX5" s="95"/>
      <c r="GY5" s="95"/>
    </row>
    <row r="6" spans="1:207" x14ac:dyDescent="0.45">
      <c r="A6" t="s">
        <v>16</v>
      </c>
      <c r="B6" t="s">
        <v>69</v>
      </c>
      <c r="C6" s="2" t="s">
        <v>22</v>
      </c>
      <c r="D6" t="s">
        <v>18</v>
      </c>
      <c r="E6" s="18">
        <v>0.56999999999999995</v>
      </c>
      <c r="F6" s="22">
        <v>0.47</v>
      </c>
      <c r="G6" s="22">
        <v>0.67</v>
      </c>
      <c r="H6" s="2"/>
      <c r="J6" s="2"/>
      <c r="L6" s="2"/>
      <c r="N6" s="2"/>
      <c r="O6" s="109"/>
      <c r="P6" s="107"/>
      <c r="Q6" s="4"/>
      <c r="R6" s="97"/>
    </row>
    <row r="7" spans="1:207" x14ac:dyDescent="0.45">
      <c r="A7" t="s">
        <v>16</v>
      </c>
      <c r="B7" t="s">
        <v>69</v>
      </c>
      <c r="C7" s="2" t="s">
        <v>22</v>
      </c>
      <c r="D7" t="s">
        <v>23</v>
      </c>
      <c r="E7" s="18">
        <v>0.43</v>
      </c>
      <c r="F7" s="18">
        <v>0.32999999999999996</v>
      </c>
      <c r="G7" s="18">
        <v>0.53</v>
      </c>
      <c r="H7" s="2"/>
      <c r="J7" s="2"/>
      <c r="L7" s="2"/>
      <c r="N7" s="2"/>
      <c r="O7" s="109"/>
      <c r="P7" s="107"/>
      <c r="Q7" s="4"/>
      <c r="R7" s="97" t="s">
        <v>147</v>
      </c>
    </row>
    <row r="8" spans="1:207" x14ac:dyDescent="0.45">
      <c r="A8" t="s">
        <v>16</v>
      </c>
      <c r="B8" t="s">
        <v>69</v>
      </c>
      <c r="C8" s="2" t="s">
        <v>24</v>
      </c>
      <c r="D8" s="10" t="s">
        <v>18</v>
      </c>
      <c r="E8" s="53">
        <v>0.31999999999999995</v>
      </c>
      <c r="F8" s="55">
        <v>0.21999999999999997</v>
      </c>
      <c r="G8" s="55">
        <v>0.41999999999999993</v>
      </c>
      <c r="H8" s="2"/>
      <c r="I8" s="10"/>
      <c r="J8" s="2"/>
      <c r="K8" s="10"/>
      <c r="L8" s="2"/>
      <c r="M8" s="10"/>
      <c r="N8" s="2"/>
      <c r="O8" s="116"/>
      <c r="P8" s="107"/>
      <c r="Q8" s="4"/>
      <c r="R8" s="97"/>
    </row>
    <row r="9" spans="1:207" x14ac:dyDescent="0.45">
      <c r="A9" t="s">
        <v>16</v>
      </c>
      <c r="B9" t="s">
        <v>69</v>
      </c>
      <c r="C9" s="2" t="s">
        <v>24</v>
      </c>
      <c r="D9" s="10" t="s">
        <v>25</v>
      </c>
      <c r="E9" s="53">
        <v>0.68</v>
      </c>
      <c r="F9" s="53">
        <v>0.58000000000000007</v>
      </c>
      <c r="G9" s="53">
        <v>0.78</v>
      </c>
      <c r="H9" s="2"/>
      <c r="I9" s="10"/>
      <c r="J9" s="2"/>
      <c r="K9" s="10"/>
      <c r="L9" s="2"/>
      <c r="M9" s="10"/>
      <c r="N9" s="2"/>
      <c r="O9" s="116"/>
      <c r="P9" s="107"/>
      <c r="Q9" s="4"/>
      <c r="R9" s="97" t="s">
        <v>148</v>
      </c>
    </row>
    <row r="10" spans="1:207" x14ac:dyDescent="0.45">
      <c r="A10" t="s">
        <v>16</v>
      </c>
      <c r="B10" t="s">
        <v>69</v>
      </c>
      <c r="C10" s="2" t="s">
        <v>26</v>
      </c>
      <c r="D10" s="10" t="s">
        <v>18</v>
      </c>
      <c r="E10" s="53">
        <v>1</v>
      </c>
      <c r="F10" s="53">
        <v>1</v>
      </c>
      <c r="G10" s="53">
        <v>1</v>
      </c>
      <c r="H10" s="2"/>
      <c r="I10" s="10"/>
      <c r="J10" s="2"/>
      <c r="K10" s="10"/>
      <c r="L10" s="2"/>
      <c r="M10" s="10"/>
      <c r="N10" s="2"/>
      <c r="O10" s="116"/>
      <c r="P10" s="107"/>
      <c r="Q10" s="4"/>
      <c r="R10" s="97"/>
    </row>
    <row r="11" spans="1:207" x14ac:dyDescent="0.45">
      <c r="A11" t="s">
        <v>16</v>
      </c>
      <c r="B11" t="s">
        <v>69</v>
      </c>
      <c r="C11" s="2" t="s">
        <v>26</v>
      </c>
      <c r="D11" t="s">
        <v>27</v>
      </c>
      <c r="E11" s="18">
        <v>0</v>
      </c>
      <c r="F11" s="18">
        <v>0</v>
      </c>
      <c r="G11" s="18">
        <v>0</v>
      </c>
      <c r="H11" s="2"/>
      <c r="J11" s="2"/>
      <c r="L11" s="2"/>
      <c r="N11" s="2"/>
      <c r="O11" s="109"/>
      <c r="P11" s="107"/>
      <c r="Q11" s="4"/>
      <c r="R11" s="97" t="s">
        <v>86</v>
      </c>
    </row>
    <row r="12" spans="1:207" x14ac:dyDescent="0.45">
      <c r="A12" t="s">
        <v>16</v>
      </c>
      <c r="B12" t="s">
        <v>69</v>
      </c>
      <c r="C12" s="2" t="s">
        <v>26</v>
      </c>
      <c r="D12" t="s">
        <v>28</v>
      </c>
      <c r="E12" s="18">
        <v>0</v>
      </c>
      <c r="F12" s="18">
        <v>0</v>
      </c>
      <c r="G12" s="18">
        <v>0</v>
      </c>
      <c r="H12" s="2"/>
      <c r="J12" s="2"/>
      <c r="L12" s="2"/>
      <c r="N12" s="2"/>
      <c r="O12" s="109"/>
      <c r="P12" s="107"/>
      <c r="Q12" s="4"/>
      <c r="R12" s="97" t="s">
        <v>86</v>
      </c>
    </row>
    <row r="13" spans="1:207" x14ac:dyDescent="0.45">
      <c r="A13" t="s">
        <v>16</v>
      </c>
      <c r="B13" t="s">
        <v>69</v>
      </c>
      <c r="C13" s="2" t="s">
        <v>29</v>
      </c>
      <c r="D13" t="s">
        <v>18</v>
      </c>
      <c r="E13" s="18">
        <v>1</v>
      </c>
      <c r="F13" s="18">
        <v>1</v>
      </c>
      <c r="G13" s="18">
        <v>1</v>
      </c>
      <c r="H13" s="2"/>
      <c r="J13" s="2"/>
      <c r="L13" s="2"/>
      <c r="N13" s="2"/>
      <c r="O13" s="109"/>
      <c r="P13" s="107"/>
      <c r="Q13" s="4"/>
      <c r="R13" s="97" t="s">
        <v>86</v>
      </c>
    </row>
    <row r="14" spans="1:207" x14ac:dyDescent="0.45">
      <c r="A14" t="s">
        <v>16</v>
      </c>
      <c r="B14" t="s">
        <v>69</v>
      </c>
      <c r="C14" s="2" t="s">
        <v>29</v>
      </c>
      <c r="D14" t="s">
        <v>30</v>
      </c>
      <c r="E14" s="18">
        <v>0</v>
      </c>
      <c r="F14" s="18">
        <v>0</v>
      </c>
      <c r="G14" s="18">
        <v>0</v>
      </c>
      <c r="H14" s="2"/>
      <c r="J14" s="2"/>
      <c r="L14" s="2"/>
      <c r="N14" s="2"/>
      <c r="O14" s="109"/>
      <c r="P14" s="107"/>
      <c r="Q14" s="4"/>
      <c r="R14" s="97" t="s">
        <v>86</v>
      </c>
    </row>
    <row r="15" spans="1:207" x14ac:dyDescent="0.45">
      <c r="A15" t="s">
        <v>16</v>
      </c>
      <c r="B15" t="s">
        <v>69</v>
      </c>
      <c r="C15" s="2" t="s">
        <v>31</v>
      </c>
      <c r="D15" t="s">
        <v>32</v>
      </c>
      <c r="E15" s="18">
        <v>0</v>
      </c>
      <c r="F15" s="18">
        <v>0</v>
      </c>
      <c r="G15" s="18">
        <v>0</v>
      </c>
      <c r="H15" s="2" t="s">
        <v>20</v>
      </c>
      <c r="I15" t="s">
        <v>18</v>
      </c>
      <c r="J15" s="2"/>
      <c r="L15" s="2"/>
      <c r="N15" s="2"/>
      <c r="O15" s="109"/>
      <c r="P15" s="107"/>
      <c r="Q15" s="4"/>
      <c r="R15" s="97" t="s">
        <v>149</v>
      </c>
    </row>
    <row r="16" spans="1:207" s="31" customFormat="1" ht="28.5" x14ac:dyDescent="0.45">
      <c r="A16" s="31" t="s">
        <v>16</v>
      </c>
      <c r="B16" s="31" t="s">
        <v>69</v>
      </c>
      <c r="C16" s="32" t="s">
        <v>31</v>
      </c>
      <c r="D16" s="31" t="s">
        <v>32</v>
      </c>
      <c r="E16" s="33">
        <v>0.504</v>
      </c>
      <c r="F16" s="33">
        <v>0.30399999999999999</v>
      </c>
      <c r="G16" s="33">
        <v>0.70399999999999996</v>
      </c>
      <c r="H16" s="32" t="s">
        <v>20</v>
      </c>
      <c r="I16" s="31" t="s">
        <v>21</v>
      </c>
      <c r="J16" s="32"/>
      <c r="L16" s="32"/>
      <c r="N16" s="32"/>
      <c r="O16" s="110"/>
      <c r="P16" s="108"/>
      <c r="Q16" s="34"/>
      <c r="R16" s="98" t="s">
        <v>209</v>
      </c>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95"/>
      <c r="AY16" s="95"/>
      <c r="AZ16" s="95"/>
      <c r="BA16" s="95"/>
      <c r="BB16" s="95"/>
      <c r="BC16" s="95"/>
      <c r="BD16" s="95"/>
      <c r="BE16" s="95"/>
      <c r="BF16" s="95"/>
      <c r="BG16" s="95"/>
      <c r="BH16" s="95"/>
      <c r="BI16" s="95"/>
      <c r="BJ16" s="95"/>
      <c r="BK16" s="95"/>
      <c r="BL16" s="95"/>
      <c r="BM16" s="95"/>
      <c r="BN16" s="95"/>
      <c r="BO16" s="95"/>
      <c r="BP16" s="95"/>
      <c r="BQ16" s="95"/>
      <c r="BR16" s="95"/>
      <c r="BS16" s="95"/>
      <c r="BT16" s="95"/>
      <c r="BU16" s="95"/>
      <c r="BV16" s="95"/>
      <c r="BW16" s="95"/>
      <c r="BX16" s="95"/>
      <c r="BY16" s="95"/>
      <c r="BZ16" s="95"/>
      <c r="CA16" s="95"/>
      <c r="CB16" s="95"/>
      <c r="CC16" s="95"/>
      <c r="CD16" s="95"/>
      <c r="CE16" s="95"/>
      <c r="CF16" s="95"/>
      <c r="CG16" s="95"/>
      <c r="CH16" s="95"/>
      <c r="CI16" s="95"/>
      <c r="CJ16" s="95"/>
      <c r="CK16" s="95"/>
      <c r="CL16" s="95"/>
      <c r="CM16" s="95"/>
      <c r="CN16" s="95"/>
      <c r="CO16" s="95"/>
      <c r="CP16" s="95"/>
      <c r="CQ16" s="95"/>
      <c r="CR16" s="95"/>
      <c r="CS16" s="95"/>
      <c r="CT16" s="95"/>
      <c r="CU16" s="95"/>
      <c r="CV16" s="95"/>
      <c r="CW16" s="95"/>
      <c r="CX16" s="95"/>
      <c r="CY16" s="95"/>
      <c r="CZ16" s="95"/>
      <c r="DA16" s="95"/>
      <c r="DB16" s="95"/>
      <c r="DC16" s="95"/>
      <c r="DD16" s="95"/>
      <c r="DE16" s="95"/>
      <c r="DF16" s="95"/>
      <c r="DG16" s="95"/>
      <c r="DH16" s="95"/>
      <c r="DI16" s="95"/>
      <c r="DJ16" s="95"/>
      <c r="DK16" s="95"/>
      <c r="DL16" s="95"/>
      <c r="DM16" s="95"/>
      <c r="DN16" s="95"/>
      <c r="DO16" s="95"/>
      <c r="DP16" s="95"/>
      <c r="DQ16" s="95"/>
      <c r="DR16" s="95"/>
      <c r="DS16" s="95"/>
      <c r="DT16" s="95"/>
      <c r="DU16" s="95"/>
      <c r="DV16" s="95"/>
      <c r="DW16" s="95"/>
      <c r="DX16" s="95"/>
      <c r="DY16" s="95"/>
      <c r="DZ16" s="95"/>
      <c r="EA16" s="95"/>
      <c r="EB16" s="95"/>
      <c r="EC16" s="95"/>
      <c r="ED16" s="95"/>
      <c r="EE16" s="95"/>
      <c r="EF16" s="95"/>
      <c r="EG16" s="95"/>
      <c r="EH16" s="95"/>
      <c r="EI16" s="95"/>
      <c r="EJ16" s="95"/>
      <c r="EK16" s="95"/>
      <c r="EL16" s="95"/>
      <c r="EM16" s="95"/>
      <c r="EN16" s="95"/>
      <c r="EO16" s="95"/>
      <c r="EP16" s="95"/>
      <c r="EQ16" s="95"/>
      <c r="ER16" s="95"/>
      <c r="ES16" s="95"/>
      <c r="ET16" s="95"/>
      <c r="EU16" s="95"/>
      <c r="EV16" s="95"/>
      <c r="EW16" s="95"/>
      <c r="EX16" s="95"/>
      <c r="EY16" s="95"/>
      <c r="EZ16" s="95"/>
      <c r="FA16" s="95"/>
      <c r="FB16" s="95"/>
      <c r="FC16" s="95"/>
      <c r="FD16" s="95"/>
      <c r="FE16" s="95"/>
      <c r="FF16" s="95"/>
      <c r="FG16" s="95"/>
      <c r="FH16" s="95"/>
      <c r="FI16" s="95"/>
      <c r="FJ16" s="95"/>
      <c r="FK16" s="95"/>
      <c r="FL16" s="95"/>
      <c r="FM16" s="95"/>
      <c r="FN16" s="95"/>
      <c r="FO16" s="95"/>
      <c r="FP16" s="95"/>
      <c r="FQ16" s="95"/>
      <c r="FR16" s="95"/>
      <c r="FS16" s="95"/>
      <c r="FT16" s="95"/>
      <c r="FU16" s="95"/>
      <c r="FV16" s="95"/>
      <c r="FW16" s="95"/>
      <c r="FX16" s="95"/>
      <c r="FY16" s="95"/>
      <c r="FZ16" s="95"/>
      <c r="GA16" s="95"/>
      <c r="GB16" s="95"/>
      <c r="GC16" s="95"/>
      <c r="GD16" s="95"/>
      <c r="GE16" s="95"/>
      <c r="GF16" s="95"/>
      <c r="GG16" s="95"/>
      <c r="GH16" s="95"/>
      <c r="GI16" s="95"/>
      <c r="GJ16" s="95"/>
      <c r="GK16" s="95"/>
      <c r="GL16" s="95"/>
      <c r="GM16" s="95"/>
      <c r="GN16" s="95"/>
      <c r="GO16" s="95"/>
      <c r="GP16" s="95"/>
      <c r="GQ16" s="95"/>
      <c r="GR16" s="95"/>
      <c r="GS16" s="95"/>
      <c r="GT16" s="95"/>
      <c r="GU16" s="95"/>
      <c r="GV16" s="95"/>
      <c r="GW16" s="95"/>
      <c r="GX16" s="95"/>
      <c r="GY16" s="95"/>
    </row>
    <row r="17" spans="1:207" x14ac:dyDescent="0.45">
      <c r="A17" t="s">
        <v>16</v>
      </c>
      <c r="B17" t="s">
        <v>69</v>
      </c>
      <c r="C17" s="2" t="s">
        <v>33</v>
      </c>
      <c r="D17" t="s">
        <v>32</v>
      </c>
      <c r="E17" s="18">
        <v>0.52</v>
      </c>
      <c r="F17" s="18">
        <v>0.42000000000000004</v>
      </c>
      <c r="G17" s="18">
        <v>0.62</v>
      </c>
      <c r="H17" s="2" t="s">
        <v>31</v>
      </c>
      <c r="I17" t="s">
        <v>32</v>
      </c>
      <c r="J17" s="2"/>
      <c r="L17" s="2"/>
      <c r="N17" s="2"/>
      <c r="O17" s="109"/>
      <c r="P17" s="107"/>
      <c r="Q17" s="4"/>
      <c r="R17" s="97" t="s">
        <v>150</v>
      </c>
    </row>
    <row r="18" spans="1:207" x14ac:dyDescent="0.45">
      <c r="A18" t="s">
        <v>16</v>
      </c>
      <c r="B18" t="s">
        <v>69</v>
      </c>
      <c r="C18" s="2" t="s">
        <v>33</v>
      </c>
      <c r="D18" t="s">
        <v>32</v>
      </c>
      <c r="E18" s="18">
        <v>0</v>
      </c>
      <c r="F18" s="18">
        <v>0</v>
      </c>
      <c r="G18" s="18">
        <v>0</v>
      </c>
      <c r="H18" s="2" t="s">
        <v>31</v>
      </c>
      <c r="I18" t="s">
        <v>34</v>
      </c>
      <c r="J18" s="2"/>
      <c r="L18" s="2"/>
      <c r="N18" s="2"/>
      <c r="O18" s="109"/>
      <c r="P18" s="107"/>
      <c r="Q18" s="4"/>
      <c r="R18" s="97" t="s">
        <v>151</v>
      </c>
    </row>
    <row r="19" spans="1:207" x14ac:dyDescent="0.45">
      <c r="A19" t="s">
        <v>16</v>
      </c>
      <c r="B19" t="s">
        <v>69</v>
      </c>
      <c r="C19" s="2" t="s">
        <v>35</v>
      </c>
      <c r="D19" t="s">
        <v>36</v>
      </c>
      <c r="E19" s="18">
        <v>0</v>
      </c>
      <c r="F19" s="18">
        <v>0</v>
      </c>
      <c r="G19" s="18">
        <v>0</v>
      </c>
      <c r="H19" s="2" t="s">
        <v>26</v>
      </c>
      <c r="I19" t="s">
        <v>18</v>
      </c>
      <c r="J19" s="2"/>
      <c r="L19" s="2"/>
      <c r="N19" s="2"/>
      <c r="O19" s="109"/>
      <c r="P19" s="107"/>
      <c r="Q19" s="4"/>
      <c r="R19" s="97" t="s">
        <v>86</v>
      </c>
    </row>
    <row r="20" spans="1:207" x14ac:dyDescent="0.45">
      <c r="A20" t="s">
        <v>16</v>
      </c>
      <c r="B20" t="s">
        <v>69</v>
      </c>
      <c r="C20" s="2" t="s">
        <v>35</v>
      </c>
      <c r="D20" t="s">
        <v>37</v>
      </c>
      <c r="E20" s="18">
        <v>0.14000000000000001</v>
      </c>
      <c r="F20" s="18">
        <v>4.0000000000000008E-2</v>
      </c>
      <c r="G20" s="18">
        <v>0.24000000000000002</v>
      </c>
      <c r="H20" s="2" t="s">
        <v>26</v>
      </c>
      <c r="I20" t="s">
        <v>18</v>
      </c>
      <c r="J20" s="2"/>
      <c r="L20" s="2"/>
      <c r="N20" s="2"/>
      <c r="O20" s="109"/>
      <c r="P20" s="107"/>
      <c r="Q20" s="4"/>
      <c r="R20" s="97" t="s">
        <v>152</v>
      </c>
    </row>
    <row r="21" spans="1:207" x14ac:dyDescent="0.45">
      <c r="A21" t="s">
        <v>16</v>
      </c>
      <c r="B21" t="s">
        <v>69</v>
      </c>
      <c r="C21" s="2" t="s">
        <v>35</v>
      </c>
      <c r="D21" t="s">
        <v>38</v>
      </c>
      <c r="E21" s="18">
        <v>0.86</v>
      </c>
      <c r="F21" s="18">
        <v>0.76</v>
      </c>
      <c r="G21" s="18">
        <v>0.96</v>
      </c>
      <c r="H21" s="2" t="s">
        <v>26</v>
      </c>
      <c r="I21" t="s">
        <v>18</v>
      </c>
      <c r="J21" s="2"/>
      <c r="L21" s="2"/>
      <c r="N21" s="2"/>
      <c r="O21" s="109"/>
      <c r="P21" s="107"/>
      <c r="Q21" s="4"/>
      <c r="R21" s="97" t="s">
        <v>152</v>
      </c>
    </row>
    <row r="22" spans="1:207" x14ac:dyDescent="0.45">
      <c r="A22" t="s">
        <v>16</v>
      </c>
      <c r="B22" t="s">
        <v>69</v>
      </c>
      <c r="C22" s="2" t="s">
        <v>35</v>
      </c>
      <c r="D22" t="s">
        <v>36</v>
      </c>
      <c r="E22" s="18">
        <v>0.3125</v>
      </c>
      <c r="F22" s="18">
        <v>0.21249999999999999</v>
      </c>
      <c r="G22" s="18">
        <v>0.41249999999999998</v>
      </c>
      <c r="H22" s="2" t="s">
        <v>26</v>
      </c>
      <c r="I22" t="s">
        <v>27</v>
      </c>
      <c r="J22" s="2"/>
      <c r="L22" s="2"/>
      <c r="N22" s="2"/>
      <c r="O22" s="109"/>
      <c r="P22" s="107"/>
      <c r="Q22" s="4"/>
      <c r="R22" s="99" t="s">
        <v>153</v>
      </c>
    </row>
    <row r="23" spans="1:207" x14ac:dyDescent="0.45">
      <c r="A23" t="s">
        <v>16</v>
      </c>
      <c r="B23" t="s">
        <v>69</v>
      </c>
      <c r="C23" s="2" t="s">
        <v>35</v>
      </c>
      <c r="D23" t="s">
        <v>37</v>
      </c>
      <c r="E23" s="18">
        <v>0.06</v>
      </c>
      <c r="F23" s="18">
        <v>2.8000000000000001E-2</v>
      </c>
      <c r="G23" s="18">
        <v>0.122</v>
      </c>
      <c r="H23" s="2" t="s">
        <v>26</v>
      </c>
      <c r="I23" t="s">
        <v>27</v>
      </c>
      <c r="J23" s="2"/>
      <c r="L23" s="2"/>
      <c r="N23" s="2"/>
      <c r="O23" s="109"/>
      <c r="P23" s="107"/>
      <c r="Q23" s="4"/>
      <c r="R23" s="97" t="s">
        <v>154</v>
      </c>
    </row>
    <row r="24" spans="1:207" x14ac:dyDescent="0.45">
      <c r="A24" t="s">
        <v>16</v>
      </c>
      <c r="B24" t="s">
        <v>69</v>
      </c>
      <c r="C24" s="2" t="s">
        <v>35</v>
      </c>
      <c r="D24" t="s">
        <v>38</v>
      </c>
      <c r="E24" s="18">
        <v>0.62749999999999995</v>
      </c>
      <c r="F24" s="18">
        <v>0.46550000000000002</v>
      </c>
      <c r="G24" s="18">
        <v>0.75949999999999995</v>
      </c>
      <c r="H24" s="2" t="s">
        <v>26</v>
      </c>
      <c r="I24" t="s">
        <v>27</v>
      </c>
      <c r="J24" s="2"/>
      <c r="K24" s="109"/>
      <c r="L24" s="107"/>
      <c r="N24" s="2"/>
      <c r="O24" s="109"/>
      <c r="P24" s="107"/>
      <c r="Q24" s="4"/>
      <c r="R24" s="97" t="s">
        <v>90</v>
      </c>
    </row>
    <row r="25" spans="1:207" x14ac:dyDescent="0.45">
      <c r="A25" t="s">
        <v>16</v>
      </c>
      <c r="B25" t="s">
        <v>69</v>
      </c>
      <c r="C25" s="2" t="s">
        <v>35</v>
      </c>
      <c r="D25" t="s">
        <v>36</v>
      </c>
      <c r="E25" s="18">
        <v>0.3125</v>
      </c>
      <c r="F25" s="18">
        <v>0.21249999999999999</v>
      </c>
      <c r="G25" s="18">
        <v>0.41249999999999998</v>
      </c>
      <c r="H25" s="2" t="s">
        <v>26</v>
      </c>
      <c r="I25" t="s">
        <v>28</v>
      </c>
      <c r="J25" s="2"/>
      <c r="K25" s="109"/>
      <c r="L25" s="107"/>
      <c r="N25" s="2"/>
      <c r="O25" s="109"/>
      <c r="P25" s="107"/>
      <c r="Q25" s="4"/>
      <c r="R25" s="99" t="s">
        <v>153</v>
      </c>
    </row>
    <row r="26" spans="1:207" x14ac:dyDescent="0.45">
      <c r="A26" t="s">
        <v>16</v>
      </c>
      <c r="B26" t="s">
        <v>69</v>
      </c>
      <c r="C26" s="2" t="s">
        <v>35</v>
      </c>
      <c r="D26" t="s">
        <v>37</v>
      </c>
      <c r="E26" s="18">
        <v>0.06</v>
      </c>
      <c r="F26" s="18">
        <v>2.8000000000000001E-2</v>
      </c>
      <c r="G26" s="18">
        <v>0.122</v>
      </c>
      <c r="H26" s="2" t="s">
        <v>26</v>
      </c>
      <c r="I26" t="s">
        <v>28</v>
      </c>
      <c r="J26" s="2"/>
      <c r="K26" s="109"/>
      <c r="L26" s="107"/>
      <c r="N26" s="2"/>
      <c r="O26" s="109"/>
      <c r="P26" s="107"/>
      <c r="Q26" s="4"/>
      <c r="R26" s="97" t="s">
        <v>154</v>
      </c>
    </row>
    <row r="27" spans="1:207" x14ac:dyDescent="0.45">
      <c r="A27" t="s">
        <v>16</v>
      </c>
      <c r="B27" t="s">
        <v>69</v>
      </c>
      <c r="C27" s="2" t="s">
        <v>35</v>
      </c>
      <c r="D27" t="s">
        <v>38</v>
      </c>
      <c r="E27" s="18">
        <v>0.62749999999999995</v>
      </c>
      <c r="F27" s="18">
        <v>0.46550000000000002</v>
      </c>
      <c r="G27" s="18">
        <v>0.75949999999999995</v>
      </c>
      <c r="H27" s="2" t="s">
        <v>26</v>
      </c>
      <c r="I27" t="s">
        <v>28</v>
      </c>
      <c r="J27" s="2"/>
      <c r="K27" s="109"/>
      <c r="L27" s="107"/>
      <c r="N27" s="2"/>
      <c r="O27" s="109"/>
      <c r="P27" s="107"/>
      <c r="Q27" s="4"/>
      <c r="R27" s="97" t="s">
        <v>90</v>
      </c>
    </row>
    <row r="28" spans="1:207" s="31" customFormat="1" ht="28.5" x14ac:dyDescent="0.45">
      <c r="A28" s="31" t="s">
        <v>16</v>
      </c>
      <c r="B28" s="31" t="s">
        <v>69</v>
      </c>
      <c r="C28" s="32" t="s">
        <v>135</v>
      </c>
      <c r="D28" s="31" t="s">
        <v>32</v>
      </c>
      <c r="E28" s="50">
        <v>0.24508718805145985</v>
      </c>
      <c r="F28" s="50">
        <v>0.22482138497390669</v>
      </c>
      <c r="G28" s="50">
        <v>0.25987112391500589</v>
      </c>
      <c r="H28" s="32" t="s">
        <v>22</v>
      </c>
      <c r="I28" s="31" t="s">
        <v>18</v>
      </c>
      <c r="J28" s="32" t="s">
        <v>17</v>
      </c>
      <c r="K28" s="110" t="s">
        <v>18</v>
      </c>
      <c r="N28" s="32"/>
      <c r="O28" s="110"/>
      <c r="P28" s="108"/>
      <c r="Q28" s="34"/>
      <c r="R28" s="100" t="s">
        <v>198</v>
      </c>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L28" s="95"/>
      <c r="DM28" s="95"/>
      <c r="DN28" s="95"/>
      <c r="DO28" s="95"/>
      <c r="DP28" s="95"/>
      <c r="DQ28" s="95"/>
      <c r="DR28" s="95"/>
      <c r="DS28" s="95"/>
      <c r="DT28" s="95"/>
      <c r="DU28" s="95"/>
      <c r="DV28" s="95"/>
      <c r="DW28" s="95"/>
      <c r="DX28" s="95"/>
      <c r="DY28" s="95"/>
      <c r="DZ28" s="95"/>
      <c r="EA28" s="95"/>
      <c r="EB28" s="95"/>
      <c r="EC28" s="95"/>
      <c r="ED28" s="95"/>
      <c r="EE28" s="95"/>
      <c r="EF28" s="95"/>
      <c r="EG28" s="95"/>
      <c r="EH28" s="95"/>
      <c r="EI28" s="95"/>
      <c r="EJ28" s="95"/>
      <c r="EK28" s="95"/>
      <c r="EL28" s="95"/>
      <c r="EM28" s="95"/>
      <c r="EN28" s="95"/>
      <c r="EO28" s="95"/>
      <c r="EP28" s="95"/>
      <c r="EQ28" s="95"/>
      <c r="ER28" s="95"/>
      <c r="ES28" s="95"/>
      <c r="ET28" s="95"/>
      <c r="EU28" s="95"/>
      <c r="EV28" s="95"/>
      <c r="EW28" s="95"/>
      <c r="EX28" s="95"/>
      <c r="EY28" s="95"/>
      <c r="EZ28" s="95"/>
      <c r="FA28" s="95"/>
      <c r="FB28" s="95"/>
      <c r="FC28" s="95"/>
      <c r="FD28" s="95"/>
      <c r="FE28" s="95"/>
      <c r="FF28" s="95"/>
      <c r="FG28" s="95"/>
      <c r="FH28" s="95"/>
      <c r="FI28" s="95"/>
      <c r="FJ28" s="95"/>
      <c r="FK28" s="95"/>
      <c r="FL28" s="95"/>
      <c r="FM28" s="95"/>
      <c r="FN28" s="95"/>
      <c r="FO28" s="95"/>
      <c r="FP28" s="95"/>
      <c r="FQ28" s="95"/>
      <c r="FR28" s="95"/>
      <c r="FS28" s="95"/>
      <c r="FT28" s="95"/>
      <c r="FU28" s="95"/>
      <c r="FV28" s="95"/>
      <c r="FW28" s="95"/>
      <c r="FX28" s="95"/>
      <c r="FY28" s="95"/>
      <c r="FZ28" s="95"/>
      <c r="GA28" s="95"/>
      <c r="GB28" s="95"/>
      <c r="GC28" s="95"/>
      <c r="GD28" s="95"/>
      <c r="GE28" s="95"/>
      <c r="GF28" s="95"/>
      <c r="GG28" s="95"/>
      <c r="GH28" s="95"/>
      <c r="GI28" s="95"/>
      <c r="GJ28" s="95"/>
      <c r="GK28" s="95"/>
      <c r="GL28" s="95"/>
      <c r="GM28" s="95"/>
      <c r="GN28" s="95"/>
      <c r="GO28" s="95"/>
      <c r="GP28" s="95"/>
      <c r="GQ28" s="95"/>
      <c r="GR28" s="95"/>
      <c r="GS28" s="95"/>
      <c r="GT28" s="95"/>
      <c r="GU28" s="95"/>
      <c r="GV28" s="95"/>
      <c r="GW28" s="95"/>
      <c r="GX28" s="95"/>
      <c r="GY28" s="95"/>
    </row>
    <row r="29" spans="1:207" s="31" customFormat="1" ht="28.5" x14ac:dyDescent="0.45">
      <c r="A29" s="31" t="s">
        <v>16</v>
      </c>
      <c r="B29" s="31" t="s">
        <v>69</v>
      </c>
      <c r="C29" s="32" t="s">
        <v>135</v>
      </c>
      <c r="D29" s="31" t="s">
        <v>32</v>
      </c>
      <c r="E29" s="50">
        <v>5.1468309490806566E-2</v>
      </c>
      <c r="F29" s="50">
        <v>2.9226780046607871E-2</v>
      </c>
      <c r="G29" s="50">
        <v>8.835618213110201E-2</v>
      </c>
      <c r="H29" s="32" t="s">
        <v>22</v>
      </c>
      <c r="I29" s="31" t="s">
        <v>23</v>
      </c>
      <c r="J29" s="32" t="s">
        <v>17</v>
      </c>
      <c r="K29" s="110" t="s">
        <v>18</v>
      </c>
      <c r="N29" s="32"/>
      <c r="O29" s="110"/>
      <c r="P29" s="108"/>
      <c r="Q29" s="34"/>
      <c r="R29" s="100" t="s">
        <v>198</v>
      </c>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c r="BP29" s="95"/>
      <c r="BQ29" s="95"/>
      <c r="BR29" s="95"/>
      <c r="BS29" s="95"/>
      <c r="BT29" s="95"/>
      <c r="BU29" s="95"/>
      <c r="BV29" s="95"/>
      <c r="BW29" s="95"/>
      <c r="BX29" s="95"/>
      <c r="BY29" s="95"/>
      <c r="BZ29" s="95"/>
      <c r="CA29" s="95"/>
      <c r="CB29" s="95"/>
      <c r="CC29" s="95"/>
      <c r="CD29" s="95"/>
      <c r="CE29" s="95"/>
      <c r="CF29" s="95"/>
      <c r="CG29" s="95"/>
      <c r="CH29" s="95"/>
      <c r="CI29" s="95"/>
      <c r="CJ29" s="95"/>
      <c r="CK29" s="95"/>
      <c r="CL29" s="95"/>
      <c r="CM29" s="95"/>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L29" s="95"/>
      <c r="DM29" s="95"/>
      <c r="DN29" s="95"/>
      <c r="DO29" s="95"/>
      <c r="DP29" s="95"/>
      <c r="DQ29" s="95"/>
      <c r="DR29" s="95"/>
      <c r="DS29" s="95"/>
      <c r="DT29" s="95"/>
      <c r="DU29" s="95"/>
      <c r="DV29" s="95"/>
      <c r="DW29" s="95"/>
      <c r="DX29" s="95"/>
      <c r="DY29" s="95"/>
      <c r="DZ29" s="95"/>
      <c r="EA29" s="95"/>
      <c r="EB29" s="95"/>
      <c r="EC29" s="95"/>
      <c r="ED29" s="95"/>
      <c r="EE29" s="95"/>
      <c r="EF29" s="95"/>
      <c r="EG29" s="95"/>
      <c r="EH29" s="95"/>
      <c r="EI29" s="95"/>
      <c r="EJ29" s="95"/>
      <c r="EK29" s="95"/>
      <c r="EL29" s="95"/>
      <c r="EM29" s="95"/>
      <c r="EN29" s="95"/>
      <c r="EO29" s="95"/>
      <c r="EP29" s="95"/>
      <c r="EQ29" s="95"/>
      <c r="ER29" s="95"/>
      <c r="ES29" s="95"/>
      <c r="ET29" s="95"/>
      <c r="EU29" s="95"/>
      <c r="EV29" s="95"/>
      <c r="EW29" s="95"/>
      <c r="EX29" s="95"/>
      <c r="EY29" s="95"/>
      <c r="EZ29" s="95"/>
      <c r="FA29" s="95"/>
      <c r="FB29" s="95"/>
      <c r="FC29" s="95"/>
      <c r="FD29" s="95"/>
      <c r="FE29" s="95"/>
      <c r="FF29" s="95"/>
      <c r="FG29" s="95"/>
      <c r="FH29" s="95"/>
      <c r="FI29" s="95"/>
      <c r="FJ29" s="95"/>
      <c r="FK29" s="95"/>
      <c r="FL29" s="95"/>
      <c r="FM29" s="95"/>
      <c r="FN29" s="95"/>
      <c r="FO29" s="95"/>
      <c r="FP29" s="95"/>
      <c r="FQ29" s="95"/>
      <c r="FR29" s="95"/>
      <c r="FS29" s="95"/>
      <c r="FT29" s="95"/>
      <c r="FU29" s="95"/>
      <c r="FV29" s="95"/>
      <c r="FW29" s="95"/>
      <c r="FX29" s="95"/>
      <c r="FY29" s="95"/>
      <c r="FZ29" s="95"/>
      <c r="GA29" s="95"/>
      <c r="GB29" s="95"/>
      <c r="GC29" s="95"/>
      <c r="GD29" s="95"/>
      <c r="GE29" s="95"/>
      <c r="GF29" s="95"/>
      <c r="GG29" s="95"/>
      <c r="GH29" s="95"/>
      <c r="GI29" s="95"/>
      <c r="GJ29" s="95"/>
      <c r="GK29" s="95"/>
      <c r="GL29" s="95"/>
      <c r="GM29" s="95"/>
      <c r="GN29" s="95"/>
      <c r="GO29" s="95"/>
      <c r="GP29" s="95"/>
      <c r="GQ29" s="95"/>
      <c r="GR29" s="95"/>
      <c r="GS29" s="95"/>
      <c r="GT29" s="95"/>
      <c r="GU29" s="95"/>
      <c r="GV29" s="95"/>
      <c r="GW29" s="95"/>
      <c r="GX29" s="95"/>
      <c r="GY29" s="95"/>
    </row>
    <row r="30" spans="1:207" s="31" customFormat="1" ht="28.5" x14ac:dyDescent="0.45">
      <c r="A30" s="31" t="s">
        <v>16</v>
      </c>
      <c r="B30" s="31" t="s">
        <v>69</v>
      </c>
      <c r="C30" s="32" t="s">
        <v>135</v>
      </c>
      <c r="D30" s="31" t="s">
        <v>32</v>
      </c>
      <c r="E30" s="50">
        <v>9.5584003340069348E-2</v>
      </c>
      <c r="F30" s="50">
        <v>6.5198201642432951E-2</v>
      </c>
      <c r="G30" s="50">
        <v>0.12733685071835288</v>
      </c>
      <c r="H30" s="32" t="s">
        <v>22</v>
      </c>
      <c r="I30" s="31" t="s">
        <v>18</v>
      </c>
      <c r="J30" s="32" t="s">
        <v>17</v>
      </c>
      <c r="K30" s="110" t="s">
        <v>19</v>
      </c>
      <c r="N30" s="32"/>
      <c r="O30" s="110"/>
      <c r="P30" s="108"/>
      <c r="Q30" s="34"/>
      <c r="R30" s="100" t="s">
        <v>198</v>
      </c>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c r="DS30" s="95"/>
      <c r="DT30" s="95"/>
      <c r="DU30" s="95"/>
      <c r="DV30" s="95"/>
      <c r="DW30" s="95"/>
      <c r="DX30" s="95"/>
      <c r="DY30" s="95"/>
      <c r="DZ30" s="95"/>
      <c r="EA30" s="95"/>
      <c r="EB30" s="95"/>
      <c r="EC30" s="95"/>
      <c r="ED30" s="95"/>
      <c r="EE30" s="95"/>
      <c r="EF30" s="95"/>
      <c r="EG30" s="95"/>
      <c r="EH30" s="95"/>
      <c r="EI30" s="95"/>
      <c r="EJ30" s="95"/>
      <c r="EK30" s="95"/>
      <c r="EL30" s="95"/>
      <c r="EM30" s="95"/>
      <c r="EN30" s="95"/>
      <c r="EO30" s="95"/>
      <c r="EP30" s="95"/>
      <c r="EQ30" s="95"/>
      <c r="ER30" s="95"/>
      <c r="ES30" s="95"/>
      <c r="ET30" s="95"/>
      <c r="EU30" s="95"/>
      <c r="EV30" s="95"/>
      <c r="EW30" s="95"/>
      <c r="EX30" s="95"/>
      <c r="EY30" s="95"/>
      <c r="EZ30" s="95"/>
      <c r="FA30" s="95"/>
      <c r="FB30" s="95"/>
      <c r="FC30" s="95"/>
      <c r="FD30" s="95"/>
      <c r="FE30" s="95"/>
      <c r="FF30" s="95"/>
      <c r="FG30" s="95"/>
      <c r="FH30" s="95"/>
      <c r="FI30" s="95"/>
      <c r="FJ30" s="95"/>
      <c r="FK30" s="95"/>
      <c r="FL30" s="95"/>
      <c r="FM30" s="95"/>
      <c r="FN30" s="95"/>
      <c r="FO30" s="95"/>
      <c r="FP30" s="95"/>
      <c r="FQ30" s="95"/>
      <c r="FR30" s="95"/>
      <c r="FS30" s="95"/>
      <c r="FT30" s="95"/>
      <c r="FU30" s="95"/>
      <c r="FV30" s="95"/>
      <c r="FW30" s="95"/>
      <c r="FX30" s="95"/>
      <c r="FY30" s="95"/>
      <c r="FZ30" s="95"/>
      <c r="GA30" s="95"/>
      <c r="GB30" s="95"/>
      <c r="GC30" s="95"/>
      <c r="GD30" s="95"/>
      <c r="GE30" s="95"/>
      <c r="GF30" s="95"/>
      <c r="GG30" s="95"/>
      <c r="GH30" s="95"/>
      <c r="GI30" s="95"/>
      <c r="GJ30" s="95"/>
      <c r="GK30" s="95"/>
      <c r="GL30" s="95"/>
      <c r="GM30" s="95"/>
      <c r="GN30" s="95"/>
      <c r="GO30" s="95"/>
      <c r="GP30" s="95"/>
      <c r="GQ30" s="95"/>
      <c r="GR30" s="95"/>
      <c r="GS30" s="95"/>
      <c r="GT30" s="95"/>
      <c r="GU30" s="95"/>
      <c r="GV30" s="95"/>
      <c r="GW30" s="95"/>
      <c r="GX30" s="95"/>
      <c r="GY30" s="95"/>
    </row>
    <row r="31" spans="1:207" s="31" customFormat="1" ht="28.5" x14ac:dyDescent="0.45">
      <c r="A31" s="31" t="s">
        <v>16</v>
      </c>
      <c r="B31" s="31" t="s">
        <v>69</v>
      </c>
      <c r="C31" s="32" t="s">
        <v>135</v>
      </c>
      <c r="D31" s="31" t="s">
        <v>32</v>
      </c>
      <c r="E31" s="50">
        <v>2.0072640701414561E-2</v>
      </c>
      <c r="F31" s="50">
        <v>8.4757662135162837E-3</v>
      </c>
      <c r="G31" s="50">
        <v>4.3294529244239981E-2</v>
      </c>
      <c r="H31" s="32" t="s">
        <v>22</v>
      </c>
      <c r="I31" s="31" t="s">
        <v>23</v>
      </c>
      <c r="J31" s="32" t="s">
        <v>17</v>
      </c>
      <c r="K31" s="110" t="s">
        <v>19</v>
      </c>
      <c r="N31" s="32"/>
      <c r="O31" s="110"/>
      <c r="P31" s="108"/>
      <c r="Q31" s="34"/>
      <c r="R31" s="101" t="s">
        <v>231</v>
      </c>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c r="GB31" s="95"/>
      <c r="GC31" s="95"/>
      <c r="GD31" s="95"/>
      <c r="GE31" s="95"/>
      <c r="GF31" s="95"/>
      <c r="GG31" s="95"/>
      <c r="GH31" s="95"/>
      <c r="GI31" s="95"/>
      <c r="GJ31" s="95"/>
      <c r="GK31" s="95"/>
      <c r="GL31" s="95"/>
      <c r="GM31" s="95"/>
      <c r="GN31" s="95"/>
      <c r="GO31" s="95"/>
      <c r="GP31" s="95"/>
      <c r="GQ31" s="95"/>
      <c r="GR31" s="95"/>
      <c r="GS31" s="95"/>
      <c r="GT31" s="95"/>
      <c r="GU31" s="95"/>
      <c r="GV31" s="95"/>
      <c r="GW31" s="95"/>
      <c r="GX31" s="95"/>
      <c r="GY31" s="95"/>
    </row>
    <row r="32" spans="1:207" s="31" customFormat="1" x14ac:dyDescent="0.45">
      <c r="A32" s="31" t="s">
        <v>16</v>
      </c>
      <c r="B32" s="31" t="s">
        <v>69</v>
      </c>
      <c r="C32" s="32" t="s">
        <v>39</v>
      </c>
      <c r="D32" s="31" t="s">
        <v>32</v>
      </c>
      <c r="E32" s="54">
        <v>0.745</v>
      </c>
      <c r="F32" s="54">
        <v>0.5</v>
      </c>
      <c r="G32" s="54">
        <v>0.9900000000000001</v>
      </c>
      <c r="H32" s="32" t="s">
        <v>33</v>
      </c>
      <c r="I32" s="31" t="s">
        <v>32</v>
      </c>
      <c r="J32" s="32" t="s">
        <v>135</v>
      </c>
      <c r="K32" s="110" t="s">
        <v>32</v>
      </c>
      <c r="L32" s="108"/>
      <c r="N32" s="32"/>
      <c r="O32" s="110"/>
      <c r="P32" s="108"/>
      <c r="Q32" s="34"/>
      <c r="R32" s="98" t="s">
        <v>155</v>
      </c>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5"/>
      <c r="CA32" s="95"/>
      <c r="CB32" s="95"/>
      <c r="CC32" s="95"/>
      <c r="CD32" s="95"/>
      <c r="CE32" s="95"/>
      <c r="CF32" s="95"/>
      <c r="CG32" s="95"/>
      <c r="CH32" s="95"/>
      <c r="CI32" s="95"/>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c r="DS32" s="95"/>
      <c r="DT32" s="95"/>
      <c r="DU32" s="95"/>
      <c r="DV32" s="95"/>
      <c r="DW32" s="95"/>
      <c r="DX32" s="95"/>
      <c r="DY32" s="95"/>
      <c r="DZ32" s="95"/>
      <c r="EA32" s="95"/>
      <c r="EB32" s="95"/>
      <c r="EC32" s="95"/>
      <c r="ED32" s="95"/>
      <c r="EE32" s="95"/>
      <c r="EF32" s="95"/>
      <c r="EG32" s="95"/>
      <c r="EH32" s="95"/>
      <c r="EI32" s="95"/>
      <c r="EJ32" s="95"/>
      <c r="EK32" s="95"/>
      <c r="EL32" s="95"/>
      <c r="EM32" s="95"/>
      <c r="EN32" s="95"/>
      <c r="EO32" s="95"/>
      <c r="EP32" s="95"/>
      <c r="EQ32" s="95"/>
      <c r="ER32" s="95"/>
      <c r="ES32" s="95"/>
      <c r="ET32" s="95"/>
      <c r="EU32" s="95"/>
      <c r="EV32" s="95"/>
      <c r="EW32" s="95"/>
      <c r="EX32" s="95"/>
      <c r="EY32" s="95"/>
      <c r="EZ32" s="95"/>
      <c r="FA32" s="95"/>
      <c r="FB32" s="95"/>
      <c r="FC32" s="95"/>
      <c r="FD32" s="95"/>
      <c r="FE32" s="95"/>
      <c r="FF32" s="95"/>
      <c r="FG32" s="95"/>
      <c r="FH32" s="95"/>
      <c r="FI32" s="95"/>
      <c r="FJ32" s="95"/>
      <c r="FK32" s="95"/>
      <c r="FL32" s="95"/>
      <c r="FM32" s="95"/>
      <c r="FN32" s="95"/>
      <c r="FO32" s="95"/>
      <c r="FP32" s="95"/>
      <c r="FQ32" s="95"/>
      <c r="FR32" s="95"/>
      <c r="FS32" s="95"/>
      <c r="FT32" s="95"/>
      <c r="FU32" s="95"/>
      <c r="FV32" s="95"/>
      <c r="FW32" s="95"/>
      <c r="FX32" s="95"/>
      <c r="FY32" s="95"/>
      <c r="FZ32" s="95"/>
      <c r="GA32" s="95"/>
      <c r="GB32" s="95"/>
      <c r="GC32" s="95"/>
      <c r="GD32" s="95"/>
      <c r="GE32" s="95"/>
      <c r="GF32" s="95"/>
      <c r="GG32" s="95"/>
      <c r="GH32" s="95"/>
      <c r="GI32" s="95"/>
      <c r="GJ32" s="95"/>
      <c r="GK32" s="95"/>
      <c r="GL32" s="95"/>
      <c r="GM32" s="95"/>
      <c r="GN32" s="95"/>
      <c r="GO32" s="95"/>
      <c r="GP32" s="95"/>
      <c r="GQ32" s="95"/>
      <c r="GR32" s="95"/>
      <c r="GS32" s="95"/>
      <c r="GT32" s="95"/>
      <c r="GU32" s="95"/>
      <c r="GV32" s="95"/>
      <c r="GW32" s="95"/>
      <c r="GX32" s="95"/>
      <c r="GY32" s="95"/>
    </row>
    <row r="33" spans="1:207" s="31" customFormat="1" x14ac:dyDescent="0.45">
      <c r="A33" s="31" t="s">
        <v>16</v>
      </c>
      <c r="B33" s="31" t="s">
        <v>69</v>
      </c>
      <c r="C33" s="32" t="s">
        <v>39</v>
      </c>
      <c r="D33" s="31" t="s">
        <v>32</v>
      </c>
      <c r="E33" s="54">
        <v>1</v>
      </c>
      <c r="F33" s="54">
        <v>1</v>
      </c>
      <c r="G33" s="54">
        <v>1</v>
      </c>
      <c r="H33" s="32" t="s">
        <v>33</v>
      </c>
      <c r="I33" s="31" t="s">
        <v>34</v>
      </c>
      <c r="J33" s="32" t="s">
        <v>135</v>
      </c>
      <c r="K33" s="110" t="s">
        <v>32</v>
      </c>
      <c r="L33" s="108"/>
      <c r="N33" s="32"/>
      <c r="O33" s="110"/>
      <c r="P33" s="108"/>
      <c r="Q33" s="34"/>
      <c r="R33" s="98" t="s">
        <v>155</v>
      </c>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5"/>
      <c r="CA33" s="95"/>
      <c r="CB33" s="95"/>
      <c r="CC33" s="95"/>
      <c r="CD33" s="95"/>
      <c r="CE33" s="95"/>
      <c r="CF33" s="95"/>
      <c r="CG33" s="95"/>
      <c r="CH33" s="95"/>
      <c r="CI33" s="95"/>
      <c r="CJ33" s="95"/>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L33" s="95"/>
      <c r="DM33" s="95"/>
      <c r="DN33" s="95"/>
      <c r="DO33" s="95"/>
      <c r="DP33" s="95"/>
      <c r="DQ33" s="95"/>
      <c r="DR33" s="95"/>
      <c r="DS33" s="95"/>
      <c r="DT33" s="95"/>
      <c r="DU33" s="95"/>
      <c r="DV33" s="95"/>
      <c r="DW33" s="95"/>
      <c r="DX33" s="95"/>
      <c r="DY33" s="95"/>
      <c r="DZ33" s="95"/>
      <c r="EA33" s="95"/>
      <c r="EB33" s="95"/>
      <c r="EC33" s="95"/>
      <c r="ED33" s="95"/>
      <c r="EE33" s="95"/>
      <c r="EF33" s="95"/>
      <c r="EG33" s="95"/>
      <c r="EH33" s="95"/>
      <c r="EI33" s="95"/>
      <c r="EJ33" s="95"/>
      <c r="EK33" s="95"/>
      <c r="EL33" s="95"/>
      <c r="EM33" s="95"/>
      <c r="EN33" s="95"/>
      <c r="EO33" s="95"/>
      <c r="EP33" s="95"/>
      <c r="EQ33" s="95"/>
      <c r="ER33" s="95"/>
      <c r="ES33" s="95"/>
      <c r="ET33" s="95"/>
      <c r="EU33" s="95"/>
      <c r="EV33" s="95"/>
      <c r="EW33" s="95"/>
      <c r="EX33" s="95"/>
      <c r="EY33" s="95"/>
      <c r="EZ33" s="95"/>
      <c r="FA33" s="95"/>
      <c r="FB33" s="95"/>
      <c r="FC33" s="95"/>
      <c r="FD33" s="95"/>
      <c r="FE33" s="95"/>
      <c r="FF33" s="95"/>
      <c r="FG33" s="95"/>
      <c r="FH33" s="95"/>
      <c r="FI33" s="95"/>
      <c r="FJ33" s="95"/>
      <c r="FK33" s="95"/>
      <c r="FL33" s="95"/>
      <c r="FM33" s="95"/>
      <c r="FN33" s="95"/>
      <c r="FO33" s="95"/>
      <c r="FP33" s="95"/>
      <c r="FQ33" s="95"/>
      <c r="FR33" s="95"/>
      <c r="FS33" s="95"/>
      <c r="FT33" s="95"/>
      <c r="FU33" s="95"/>
      <c r="FV33" s="95"/>
      <c r="FW33" s="95"/>
      <c r="FX33" s="95"/>
      <c r="FY33" s="95"/>
      <c r="FZ33" s="95"/>
      <c r="GA33" s="95"/>
      <c r="GB33" s="95"/>
      <c r="GC33" s="95"/>
      <c r="GD33" s="95"/>
      <c r="GE33" s="95"/>
      <c r="GF33" s="95"/>
      <c r="GG33" s="95"/>
      <c r="GH33" s="95"/>
      <c r="GI33" s="95"/>
      <c r="GJ33" s="95"/>
      <c r="GK33" s="95"/>
      <c r="GL33" s="95"/>
      <c r="GM33" s="95"/>
      <c r="GN33" s="95"/>
      <c r="GO33" s="95"/>
      <c r="GP33" s="95"/>
      <c r="GQ33" s="95"/>
      <c r="GR33" s="95"/>
      <c r="GS33" s="95"/>
      <c r="GT33" s="95"/>
      <c r="GU33" s="95"/>
      <c r="GV33" s="95"/>
      <c r="GW33" s="95"/>
      <c r="GX33" s="95"/>
      <c r="GY33" s="95"/>
    </row>
    <row r="34" spans="1:207" s="31" customFormat="1" x14ac:dyDescent="0.45">
      <c r="A34" s="31" t="s">
        <v>16</v>
      </c>
      <c r="B34" s="31" t="s">
        <v>69</v>
      </c>
      <c r="C34" s="32" t="s">
        <v>39</v>
      </c>
      <c r="D34" s="31" t="s">
        <v>32</v>
      </c>
      <c r="E34" s="54">
        <v>0</v>
      </c>
      <c r="F34" s="54">
        <v>0</v>
      </c>
      <c r="G34" s="54">
        <v>0</v>
      </c>
      <c r="H34" s="32" t="s">
        <v>33</v>
      </c>
      <c r="I34" s="31" t="s">
        <v>32</v>
      </c>
      <c r="J34" s="32" t="s">
        <v>135</v>
      </c>
      <c r="K34" s="110" t="s">
        <v>34</v>
      </c>
      <c r="L34" s="108"/>
      <c r="N34" s="32"/>
      <c r="O34" s="110"/>
      <c r="P34" s="108"/>
      <c r="Q34" s="34"/>
      <c r="R34" s="98"/>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c r="DS34" s="95"/>
      <c r="DT34" s="95"/>
      <c r="DU34" s="95"/>
      <c r="DV34" s="95"/>
      <c r="DW34" s="95"/>
      <c r="DX34" s="95"/>
      <c r="DY34" s="95"/>
      <c r="DZ34" s="95"/>
      <c r="EA34" s="95"/>
      <c r="EB34" s="95"/>
      <c r="EC34" s="95"/>
      <c r="ED34" s="95"/>
      <c r="EE34" s="95"/>
      <c r="EF34" s="95"/>
      <c r="EG34" s="95"/>
      <c r="EH34" s="95"/>
      <c r="EI34" s="95"/>
      <c r="EJ34" s="95"/>
      <c r="EK34" s="95"/>
      <c r="EL34" s="95"/>
      <c r="EM34" s="95"/>
      <c r="EN34" s="95"/>
      <c r="EO34" s="95"/>
      <c r="EP34" s="95"/>
      <c r="EQ34" s="95"/>
      <c r="ER34" s="95"/>
      <c r="ES34" s="95"/>
      <c r="ET34" s="95"/>
      <c r="EU34" s="95"/>
      <c r="EV34" s="95"/>
      <c r="EW34" s="95"/>
      <c r="EX34" s="95"/>
      <c r="EY34" s="95"/>
      <c r="EZ34" s="95"/>
      <c r="FA34" s="95"/>
      <c r="FB34" s="95"/>
      <c r="FC34" s="95"/>
      <c r="FD34" s="95"/>
      <c r="FE34" s="95"/>
      <c r="FF34" s="95"/>
      <c r="FG34" s="95"/>
      <c r="FH34" s="95"/>
      <c r="FI34" s="95"/>
      <c r="FJ34" s="95"/>
      <c r="FK34" s="95"/>
      <c r="FL34" s="95"/>
      <c r="FM34" s="95"/>
      <c r="FN34" s="95"/>
      <c r="FO34" s="95"/>
      <c r="FP34" s="95"/>
      <c r="FQ34" s="95"/>
      <c r="FR34" s="95"/>
      <c r="FS34" s="95"/>
      <c r="FT34" s="95"/>
      <c r="FU34" s="95"/>
      <c r="FV34" s="95"/>
      <c r="FW34" s="95"/>
      <c r="FX34" s="95"/>
      <c r="FY34" s="95"/>
      <c r="FZ34" s="95"/>
      <c r="GA34" s="95"/>
      <c r="GB34" s="95"/>
      <c r="GC34" s="95"/>
      <c r="GD34" s="95"/>
      <c r="GE34" s="95"/>
      <c r="GF34" s="95"/>
      <c r="GG34" s="95"/>
      <c r="GH34" s="95"/>
      <c r="GI34" s="95"/>
      <c r="GJ34" s="95"/>
      <c r="GK34" s="95"/>
      <c r="GL34" s="95"/>
      <c r="GM34" s="95"/>
      <c r="GN34" s="95"/>
      <c r="GO34" s="95"/>
      <c r="GP34" s="95"/>
      <c r="GQ34" s="95"/>
      <c r="GR34" s="95"/>
      <c r="GS34" s="95"/>
      <c r="GT34" s="95"/>
      <c r="GU34" s="95"/>
      <c r="GV34" s="95"/>
      <c r="GW34" s="95"/>
      <c r="GX34" s="95"/>
      <c r="GY34" s="95"/>
    </row>
    <row r="35" spans="1:207" s="31" customFormat="1" x14ac:dyDescent="0.45">
      <c r="A35" s="31" t="s">
        <v>16</v>
      </c>
      <c r="B35" s="31" t="s">
        <v>69</v>
      </c>
      <c r="C35" s="32" t="s">
        <v>39</v>
      </c>
      <c r="D35" s="31" t="s">
        <v>32</v>
      </c>
      <c r="E35" s="54">
        <v>0</v>
      </c>
      <c r="F35" s="54">
        <v>0</v>
      </c>
      <c r="G35" s="54">
        <v>0</v>
      </c>
      <c r="H35" s="32" t="s">
        <v>33</v>
      </c>
      <c r="I35" s="31" t="s">
        <v>34</v>
      </c>
      <c r="J35" s="32" t="s">
        <v>135</v>
      </c>
      <c r="K35" s="31" t="s">
        <v>34</v>
      </c>
      <c r="L35" s="32"/>
      <c r="N35" s="32"/>
      <c r="O35" s="110"/>
      <c r="P35" s="108"/>
      <c r="Q35" s="34"/>
      <c r="R35" s="98"/>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5"/>
      <c r="CA35" s="95"/>
      <c r="CB35" s="95"/>
      <c r="CC35" s="95"/>
      <c r="CD35" s="95"/>
      <c r="CE35" s="95"/>
      <c r="CF35" s="95"/>
      <c r="CG35" s="95"/>
      <c r="CH35" s="95"/>
      <c r="CI35" s="95"/>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c r="DS35" s="95"/>
      <c r="DT35" s="95"/>
      <c r="DU35" s="95"/>
      <c r="DV35" s="95"/>
      <c r="DW35" s="95"/>
      <c r="DX35" s="95"/>
      <c r="DY35" s="95"/>
      <c r="DZ35" s="95"/>
      <c r="EA35" s="95"/>
      <c r="EB35" s="95"/>
      <c r="EC35" s="95"/>
      <c r="ED35" s="95"/>
      <c r="EE35" s="95"/>
      <c r="EF35" s="95"/>
      <c r="EG35" s="95"/>
      <c r="EH35" s="95"/>
      <c r="EI35" s="95"/>
      <c r="EJ35" s="95"/>
      <c r="EK35" s="95"/>
      <c r="EL35" s="95"/>
      <c r="EM35" s="95"/>
      <c r="EN35" s="95"/>
      <c r="EO35" s="95"/>
      <c r="EP35" s="95"/>
      <c r="EQ35" s="95"/>
      <c r="ER35" s="95"/>
      <c r="ES35" s="95"/>
      <c r="ET35" s="95"/>
      <c r="EU35" s="95"/>
      <c r="EV35" s="95"/>
      <c r="EW35" s="95"/>
      <c r="EX35" s="95"/>
      <c r="EY35" s="95"/>
      <c r="EZ35" s="95"/>
      <c r="FA35" s="95"/>
      <c r="FB35" s="95"/>
      <c r="FC35" s="95"/>
      <c r="FD35" s="95"/>
      <c r="FE35" s="95"/>
      <c r="FF35" s="95"/>
      <c r="FG35" s="95"/>
      <c r="FH35" s="95"/>
      <c r="FI35" s="95"/>
      <c r="FJ35" s="95"/>
      <c r="FK35" s="95"/>
      <c r="FL35" s="95"/>
      <c r="FM35" s="95"/>
      <c r="FN35" s="95"/>
      <c r="FO35" s="95"/>
      <c r="FP35" s="95"/>
      <c r="FQ35" s="95"/>
      <c r="FR35" s="95"/>
      <c r="FS35" s="95"/>
      <c r="FT35" s="95"/>
      <c r="FU35" s="95"/>
      <c r="FV35" s="95"/>
      <c r="FW35" s="95"/>
      <c r="FX35" s="95"/>
      <c r="FY35" s="95"/>
      <c r="FZ35" s="95"/>
      <c r="GA35" s="95"/>
      <c r="GB35" s="95"/>
      <c r="GC35" s="95"/>
      <c r="GD35" s="95"/>
      <c r="GE35" s="95"/>
      <c r="GF35" s="95"/>
      <c r="GG35" s="95"/>
      <c r="GH35" s="95"/>
      <c r="GI35" s="95"/>
      <c r="GJ35" s="95"/>
      <c r="GK35" s="95"/>
      <c r="GL35" s="95"/>
      <c r="GM35" s="95"/>
      <c r="GN35" s="95"/>
      <c r="GO35" s="95"/>
      <c r="GP35" s="95"/>
      <c r="GQ35" s="95"/>
      <c r="GR35" s="95"/>
      <c r="GS35" s="95"/>
      <c r="GT35" s="95"/>
      <c r="GU35" s="95"/>
      <c r="GV35" s="95"/>
      <c r="GW35" s="95"/>
      <c r="GX35" s="95"/>
      <c r="GY35" s="95"/>
    </row>
    <row r="36" spans="1:207" x14ac:dyDescent="0.45">
      <c r="A36" t="s">
        <v>16</v>
      </c>
      <c r="B36" t="s">
        <v>69</v>
      </c>
      <c r="C36" s="2" t="s">
        <v>40</v>
      </c>
      <c r="D36" s="10" t="s">
        <v>32</v>
      </c>
      <c r="E36" s="53">
        <v>1</v>
      </c>
      <c r="F36" s="53">
        <v>1</v>
      </c>
      <c r="G36" s="53">
        <v>1</v>
      </c>
      <c r="H36" s="2" t="s">
        <v>35</v>
      </c>
      <c r="I36" s="10" t="s">
        <v>36</v>
      </c>
      <c r="J36" s="2" t="s">
        <v>24</v>
      </c>
      <c r="K36" t="s">
        <v>18</v>
      </c>
      <c r="L36" s="2"/>
      <c r="N36" s="2"/>
      <c r="O36" s="109"/>
      <c r="P36" s="107"/>
      <c r="Q36" s="4"/>
      <c r="R36" s="97" t="s">
        <v>156</v>
      </c>
    </row>
    <row r="37" spans="1:207" x14ac:dyDescent="0.45">
      <c r="A37" t="s">
        <v>16</v>
      </c>
      <c r="B37" t="s">
        <v>69</v>
      </c>
      <c r="C37" s="2" t="s">
        <v>40</v>
      </c>
      <c r="D37" s="10" t="s">
        <v>32</v>
      </c>
      <c r="E37" s="53">
        <v>0</v>
      </c>
      <c r="F37" s="53">
        <v>0</v>
      </c>
      <c r="G37" s="53">
        <v>0</v>
      </c>
      <c r="H37" s="2" t="s">
        <v>35</v>
      </c>
      <c r="I37" s="10" t="s">
        <v>37</v>
      </c>
      <c r="J37" s="2" t="s">
        <v>24</v>
      </c>
      <c r="K37" t="s">
        <v>18</v>
      </c>
      <c r="L37" s="2"/>
      <c r="N37" s="2"/>
      <c r="O37" s="109"/>
      <c r="P37" s="107"/>
      <c r="Q37" s="4"/>
      <c r="R37" s="97" t="s">
        <v>157</v>
      </c>
    </row>
    <row r="38" spans="1:207" x14ac:dyDescent="0.45">
      <c r="A38" t="s">
        <v>16</v>
      </c>
      <c r="B38" t="s">
        <v>69</v>
      </c>
      <c r="C38" s="2" t="s">
        <v>40</v>
      </c>
      <c r="D38" s="10" t="s">
        <v>32</v>
      </c>
      <c r="E38" s="53">
        <v>0</v>
      </c>
      <c r="F38" s="53">
        <v>0</v>
      </c>
      <c r="G38" s="53">
        <v>0</v>
      </c>
      <c r="H38" s="2" t="s">
        <v>35</v>
      </c>
      <c r="I38" s="10" t="s">
        <v>38</v>
      </c>
      <c r="J38" s="2" t="s">
        <v>24</v>
      </c>
      <c r="K38" t="s">
        <v>18</v>
      </c>
      <c r="L38" s="2"/>
      <c r="N38" s="2"/>
      <c r="O38" s="109"/>
      <c r="P38" s="107"/>
      <c r="Q38" s="4"/>
      <c r="R38" s="97" t="s">
        <v>157</v>
      </c>
    </row>
    <row r="39" spans="1:207" x14ac:dyDescent="0.45">
      <c r="A39" t="s">
        <v>16</v>
      </c>
      <c r="B39" t="s">
        <v>69</v>
      </c>
      <c r="C39" s="2" t="s">
        <v>40</v>
      </c>
      <c r="D39" s="10" t="s">
        <v>32</v>
      </c>
      <c r="E39" s="53">
        <v>1</v>
      </c>
      <c r="F39" s="53">
        <v>1</v>
      </c>
      <c r="G39" s="53">
        <v>1</v>
      </c>
      <c r="H39" s="2" t="s">
        <v>35</v>
      </c>
      <c r="I39" s="10" t="s">
        <v>36</v>
      </c>
      <c r="J39" s="2" t="s">
        <v>24</v>
      </c>
      <c r="K39" t="s">
        <v>25</v>
      </c>
      <c r="L39" s="2"/>
      <c r="N39" s="2"/>
      <c r="O39" s="109"/>
      <c r="P39" s="107"/>
      <c r="Q39" s="4"/>
      <c r="R39" s="97" t="s">
        <v>156</v>
      </c>
    </row>
    <row r="40" spans="1:207" x14ac:dyDescent="0.45">
      <c r="A40" t="s">
        <v>16</v>
      </c>
      <c r="B40" t="s">
        <v>69</v>
      </c>
      <c r="C40" s="2" t="s">
        <v>40</v>
      </c>
      <c r="D40" s="10" t="s">
        <v>32</v>
      </c>
      <c r="E40" s="53">
        <v>0.61499999999999999</v>
      </c>
      <c r="F40" s="53">
        <v>0.52</v>
      </c>
      <c r="G40" s="53">
        <v>0.71</v>
      </c>
      <c r="H40" s="2" t="s">
        <v>35</v>
      </c>
      <c r="I40" s="10" t="s">
        <v>37</v>
      </c>
      <c r="J40" s="2" t="s">
        <v>24</v>
      </c>
      <c r="K40" t="s">
        <v>25</v>
      </c>
      <c r="L40" s="2"/>
      <c r="N40" s="2"/>
      <c r="O40" s="109"/>
      <c r="P40" s="107"/>
      <c r="Q40" s="4"/>
      <c r="R40" s="97" t="s">
        <v>158</v>
      </c>
    </row>
    <row r="41" spans="1:207" x14ac:dyDescent="0.45">
      <c r="A41" t="s">
        <v>16</v>
      </c>
      <c r="B41" t="s">
        <v>69</v>
      </c>
      <c r="C41" s="2" t="s">
        <v>40</v>
      </c>
      <c r="D41" s="10" t="s">
        <v>32</v>
      </c>
      <c r="E41" s="53">
        <v>0.61499999999999999</v>
      </c>
      <c r="F41" s="53">
        <v>0.52</v>
      </c>
      <c r="G41" s="53">
        <v>0.71</v>
      </c>
      <c r="H41" s="2" t="s">
        <v>35</v>
      </c>
      <c r="I41" s="10" t="s">
        <v>38</v>
      </c>
      <c r="J41" s="2" t="s">
        <v>24</v>
      </c>
      <c r="K41" t="s">
        <v>25</v>
      </c>
      <c r="L41" s="2"/>
      <c r="N41" s="2"/>
      <c r="O41" s="109"/>
      <c r="P41" s="107"/>
      <c r="Q41" s="4"/>
      <c r="R41" s="97" t="s">
        <v>158</v>
      </c>
    </row>
    <row r="42" spans="1:207" ht="28.5" x14ac:dyDescent="0.45">
      <c r="A42" t="s">
        <v>16</v>
      </c>
      <c r="B42" t="s">
        <v>69</v>
      </c>
      <c r="C42" s="2" t="s">
        <v>41</v>
      </c>
      <c r="D42" s="10" t="s">
        <v>32</v>
      </c>
      <c r="E42" s="53">
        <v>0.2</v>
      </c>
      <c r="F42" s="53">
        <v>0.15</v>
      </c>
      <c r="G42" s="53">
        <v>0.25</v>
      </c>
      <c r="H42" s="2" t="s">
        <v>39</v>
      </c>
      <c r="I42" s="10" t="s">
        <v>32</v>
      </c>
      <c r="J42" s="2" t="s">
        <v>40</v>
      </c>
      <c r="K42" t="s">
        <v>32</v>
      </c>
      <c r="L42" s="2" t="s">
        <v>35</v>
      </c>
      <c r="M42" t="s">
        <v>36</v>
      </c>
      <c r="N42" s="2"/>
      <c r="O42" s="109"/>
      <c r="P42" s="107"/>
      <c r="Q42" s="4"/>
      <c r="R42" s="102" t="s">
        <v>159</v>
      </c>
    </row>
    <row r="43" spans="1:207" x14ac:dyDescent="0.45">
      <c r="A43" t="s">
        <v>16</v>
      </c>
      <c r="B43" t="s">
        <v>69</v>
      </c>
      <c r="C43" s="2" t="s">
        <v>41</v>
      </c>
      <c r="D43" t="s">
        <v>32</v>
      </c>
      <c r="E43" s="18">
        <v>0</v>
      </c>
      <c r="F43" s="18">
        <v>0</v>
      </c>
      <c r="G43" s="18">
        <v>0</v>
      </c>
      <c r="H43" s="2" t="s">
        <v>39</v>
      </c>
      <c r="I43" t="s">
        <v>34</v>
      </c>
      <c r="J43" s="2" t="s">
        <v>40</v>
      </c>
      <c r="K43" t="s">
        <v>32</v>
      </c>
      <c r="L43" s="2" t="s">
        <v>35</v>
      </c>
      <c r="M43" t="s">
        <v>36</v>
      </c>
      <c r="N43" s="2"/>
      <c r="O43" s="109"/>
      <c r="P43" s="107"/>
      <c r="Q43" s="4"/>
      <c r="R43" s="97" t="s">
        <v>96</v>
      </c>
    </row>
    <row r="44" spans="1:207" x14ac:dyDescent="0.45">
      <c r="A44" t="s">
        <v>16</v>
      </c>
      <c r="B44" t="s">
        <v>69</v>
      </c>
      <c r="C44" s="2" t="s">
        <v>41</v>
      </c>
      <c r="D44" t="s">
        <v>32</v>
      </c>
      <c r="E44" s="18">
        <v>0</v>
      </c>
      <c r="F44" s="18">
        <v>0</v>
      </c>
      <c r="G44" s="18">
        <v>0</v>
      </c>
      <c r="H44" s="2" t="s">
        <v>39</v>
      </c>
      <c r="I44" t="s">
        <v>32</v>
      </c>
      <c r="J44" s="2" t="s">
        <v>40</v>
      </c>
      <c r="K44" t="s">
        <v>34</v>
      </c>
      <c r="L44" s="2" t="s">
        <v>35</v>
      </c>
      <c r="M44" t="s">
        <v>36</v>
      </c>
      <c r="N44" s="2"/>
      <c r="O44" s="109"/>
      <c r="P44" s="107"/>
      <c r="Q44" s="4"/>
      <c r="R44" s="97" t="s">
        <v>160</v>
      </c>
    </row>
    <row r="45" spans="1:207" x14ac:dyDescent="0.45">
      <c r="A45" t="s">
        <v>16</v>
      </c>
      <c r="B45" t="s">
        <v>69</v>
      </c>
      <c r="C45" s="2" t="s">
        <v>41</v>
      </c>
      <c r="D45" t="s">
        <v>32</v>
      </c>
      <c r="E45" s="18">
        <v>0</v>
      </c>
      <c r="F45" s="18">
        <v>0</v>
      </c>
      <c r="G45" s="18">
        <v>0</v>
      </c>
      <c r="H45" s="2" t="s">
        <v>39</v>
      </c>
      <c r="I45" t="s">
        <v>34</v>
      </c>
      <c r="J45" s="2" t="s">
        <v>40</v>
      </c>
      <c r="K45" t="s">
        <v>34</v>
      </c>
      <c r="L45" s="2" t="s">
        <v>35</v>
      </c>
      <c r="M45" t="s">
        <v>36</v>
      </c>
      <c r="N45" s="2"/>
      <c r="O45" s="109"/>
      <c r="P45" s="107"/>
      <c r="Q45" s="4"/>
      <c r="R45" s="97" t="s">
        <v>96</v>
      </c>
    </row>
    <row r="46" spans="1:207" ht="42.75" x14ac:dyDescent="0.45">
      <c r="A46" t="s">
        <v>16</v>
      </c>
      <c r="B46" t="s">
        <v>69</v>
      </c>
      <c r="C46" s="2" t="s">
        <v>41</v>
      </c>
      <c r="D46" t="s">
        <v>32</v>
      </c>
      <c r="E46" s="18">
        <v>0.41850000000000004</v>
      </c>
      <c r="F46" s="18">
        <v>0.37665000000000004</v>
      </c>
      <c r="G46" s="18">
        <v>0.46035000000000004</v>
      </c>
      <c r="H46" s="2" t="s">
        <v>39</v>
      </c>
      <c r="I46" t="s">
        <v>32</v>
      </c>
      <c r="J46" s="2" t="s">
        <v>40</v>
      </c>
      <c r="K46" t="s">
        <v>32</v>
      </c>
      <c r="L46" s="2" t="s">
        <v>35</v>
      </c>
      <c r="M46" t="s">
        <v>37</v>
      </c>
      <c r="N46" s="2"/>
      <c r="O46" s="109"/>
      <c r="P46" s="107"/>
      <c r="Q46" s="4"/>
      <c r="R46" s="99" t="s">
        <v>161</v>
      </c>
    </row>
    <row r="47" spans="1:207" x14ac:dyDescent="0.45">
      <c r="A47" t="s">
        <v>16</v>
      </c>
      <c r="B47" t="s">
        <v>69</v>
      </c>
      <c r="C47" s="2" t="s">
        <v>41</v>
      </c>
      <c r="D47" t="s">
        <v>32</v>
      </c>
      <c r="E47" s="18">
        <v>0</v>
      </c>
      <c r="F47" s="18">
        <v>0</v>
      </c>
      <c r="G47" s="18">
        <v>0</v>
      </c>
      <c r="H47" s="2" t="s">
        <v>39</v>
      </c>
      <c r="I47" t="s">
        <v>34</v>
      </c>
      <c r="J47" s="2" t="s">
        <v>40</v>
      </c>
      <c r="K47" t="s">
        <v>32</v>
      </c>
      <c r="L47" s="2" t="s">
        <v>35</v>
      </c>
      <c r="M47" t="s">
        <v>37</v>
      </c>
      <c r="N47" s="2"/>
      <c r="O47" s="109"/>
      <c r="P47" s="107"/>
      <c r="Q47" s="4"/>
      <c r="R47" s="97" t="s">
        <v>96</v>
      </c>
    </row>
    <row r="48" spans="1:207" x14ac:dyDescent="0.45">
      <c r="A48" t="s">
        <v>16</v>
      </c>
      <c r="B48" t="s">
        <v>69</v>
      </c>
      <c r="C48" s="2" t="s">
        <v>41</v>
      </c>
      <c r="D48" t="s">
        <v>32</v>
      </c>
      <c r="E48" s="18">
        <v>0</v>
      </c>
      <c r="F48" s="18">
        <v>0</v>
      </c>
      <c r="G48" s="18">
        <v>0</v>
      </c>
      <c r="H48" s="2" t="s">
        <v>39</v>
      </c>
      <c r="I48" t="s">
        <v>32</v>
      </c>
      <c r="J48" s="2" t="s">
        <v>40</v>
      </c>
      <c r="K48" t="s">
        <v>34</v>
      </c>
      <c r="L48" s="2" t="s">
        <v>35</v>
      </c>
      <c r="M48" t="s">
        <v>37</v>
      </c>
      <c r="N48" s="2"/>
      <c r="O48" s="109"/>
      <c r="P48" s="107"/>
      <c r="Q48" s="4"/>
      <c r="R48" s="97" t="s">
        <v>160</v>
      </c>
    </row>
    <row r="49" spans="1:18" x14ac:dyDescent="0.45">
      <c r="A49" t="s">
        <v>16</v>
      </c>
      <c r="B49" t="s">
        <v>69</v>
      </c>
      <c r="C49" s="2" t="s">
        <v>41</v>
      </c>
      <c r="D49" t="s">
        <v>32</v>
      </c>
      <c r="E49" s="18">
        <v>0</v>
      </c>
      <c r="F49" s="18">
        <v>0</v>
      </c>
      <c r="G49" s="18">
        <v>0</v>
      </c>
      <c r="H49" s="2" t="s">
        <v>39</v>
      </c>
      <c r="I49" t="s">
        <v>34</v>
      </c>
      <c r="J49" s="2" t="s">
        <v>40</v>
      </c>
      <c r="K49" t="s">
        <v>34</v>
      </c>
      <c r="L49" s="2" t="s">
        <v>35</v>
      </c>
      <c r="M49" t="s">
        <v>37</v>
      </c>
      <c r="N49" s="2"/>
      <c r="O49" s="109"/>
      <c r="P49" s="107"/>
      <c r="Q49" s="4"/>
      <c r="R49" s="97" t="s">
        <v>96</v>
      </c>
    </row>
    <row r="50" spans="1:18" ht="42.75" x14ac:dyDescent="0.45">
      <c r="A50" t="s">
        <v>16</v>
      </c>
      <c r="B50" t="s">
        <v>69</v>
      </c>
      <c r="C50" s="2" t="s">
        <v>41</v>
      </c>
      <c r="D50" t="s">
        <v>32</v>
      </c>
      <c r="E50" s="18">
        <v>0.41850000000000004</v>
      </c>
      <c r="F50" s="18">
        <v>0.37665000000000004</v>
      </c>
      <c r="G50" s="18">
        <v>0.46035000000000004</v>
      </c>
      <c r="H50" s="2" t="s">
        <v>39</v>
      </c>
      <c r="I50" t="s">
        <v>32</v>
      </c>
      <c r="J50" s="2" t="s">
        <v>40</v>
      </c>
      <c r="K50" t="s">
        <v>32</v>
      </c>
      <c r="L50" s="2" t="s">
        <v>35</v>
      </c>
      <c r="M50" t="s">
        <v>38</v>
      </c>
      <c r="N50" s="2"/>
      <c r="O50" s="109"/>
      <c r="P50" s="107"/>
      <c r="Q50" s="4"/>
      <c r="R50" s="99" t="s">
        <v>161</v>
      </c>
    </row>
    <row r="51" spans="1:18" x14ac:dyDescent="0.45">
      <c r="A51" t="s">
        <v>16</v>
      </c>
      <c r="B51" t="s">
        <v>69</v>
      </c>
      <c r="C51" s="2" t="s">
        <v>41</v>
      </c>
      <c r="D51" t="s">
        <v>32</v>
      </c>
      <c r="E51" s="18">
        <v>0</v>
      </c>
      <c r="F51" s="18">
        <v>0</v>
      </c>
      <c r="G51" s="18">
        <v>0</v>
      </c>
      <c r="H51" s="2" t="s">
        <v>39</v>
      </c>
      <c r="I51" t="s">
        <v>34</v>
      </c>
      <c r="J51" s="2" t="s">
        <v>40</v>
      </c>
      <c r="K51" t="s">
        <v>32</v>
      </c>
      <c r="L51" s="2" t="s">
        <v>35</v>
      </c>
      <c r="M51" t="s">
        <v>38</v>
      </c>
      <c r="N51" s="2"/>
      <c r="O51" s="109"/>
      <c r="P51" s="107"/>
      <c r="Q51" s="4"/>
      <c r="R51" s="97" t="s">
        <v>96</v>
      </c>
    </row>
    <row r="52" spans="1:18" x14ac:dyDescent="0.45">
      <c r="A52" t="s">
        <v>16</v>
      </c>
      <c r="B52" t="s">
        <v>69</v>
      </c>
      <c r="C52" s="2" t="s">
        <v>41</v>
      </c>
      <c r="D52" t="s">
        <v>32</v>
      </c>
      <c r="E52" s="18">
        <v>0</v>
      </c>
      <c r="F52" s="18">
        <v>0</v>
      </c>
      <c r="G52" s="18">
        <v>0</v>
      </c>
      <c r="H52" s="2" t="s">
        <v>39</v>
      </c>
      <c r="I52" t="s">
        <v>32</v>
      </c>
      <c r="J52" s="2" t="s">
        <v>40</v>
      </c>
      <c r="K52" t="s">
        <v>34</v>
      </c>
      <c r="L52" s="2" t="s">
        <v>35</v>
      </c>
      <c r="M52" t="s">
        <v>38</v>
      </c>
      <c r="N52" s="2"/>
      <c r="O52" s="109"/>
      <c r="P52" s="107"/>
      <c r="Q52" s="4"/>
      <c r="R52" s="97" t="s">
        <v>160</v>
      </c>
    </row>
    <row r="53" spans="1:18" x14ac:dyDescent="0.45">
      <c r="A53" t="s">
        <v>16</v>
      </c>
      <c r="B53" t="s">
        <v>69</v>
      </c>
      <c r="C53" s="2" t="s">
        <v>41</v>
      </c>
      <c r="D53" t="s">
        <v>32</v>
      </c>
      <c r="E53" s="18">
        <v>0</v>
      </c>
      <c r="F53" s="18">
        <v>0</v>
      </c>
      <c r="G53" s="18">
        <v>0</v>
      </c>
      <c r="H53" s="2" t="s">
        <v>39</v>
      </c>
      <c r="I53" t="s">
        <v>34</v>
      </c>
      <c r="J53" s="2" t="s">
        <v>40</v>
      </c>
      <c r="K53" t="s">
        <v>34</v>
      </c>
      <c r="L53" s="2" t="s">
        <v>35</v>
      </c>
      <c r="M53" t="s">
        <v>38</v>
      </c>
      <c r="N53" s="2"/>
      <c r="O53" s="109"/>
      <c r="P53" s="107"/>
      <c r="Q53" s="4"/>
      <c r="R53" s="97" t="s">
        <v>96</v>
      </c>
    </row>
    <row r="54" spans="1:18" x14ac:dyDescent="0.45">
      <c r="A54" t="s">
        <v>16</v>
      </c>
      <c r="B54" t="s">
        <v>69</v>
      </c>
      <c r="C54" s="2" t="s">
        <v>42</v>
      </c>
      <c r="D54" t="s">
        <v>32</v>
      </c>
      <c r="E54" s="19">
        <v>0.01</v>
      </c>
      <c r="F54" s="19">
        <v>5.0000000000000001E-3</v>
      </c>
      <c r="G54" s="19">
        <v>1.4999999999999999E-2</v>
      </c>
      <c r="H54" s="2" t="s">
        <v>41</v>
      </c>
      <c r="I54" t="s">
        <v>32</v>
      </c>
      <c r="J54" s="2" t="s">
        <v>39</v>
      </c>
      <c r="K54" t="s">
        <v>32</v>
      </c>
      <c r="L54" s="2" t="s">
        <v>35</v>
      </c>
      <c r="M54" t="s">
        <v>36</v>
      </c>
      <c r="N54" s="2" t="s">
        <v>29</v>
      </c>
      <c r="O54" s="109" t="s">
        <v>18</v>
      </c>
      <c r="P54" s="107"/>
      <c r="Q54" s="4"/>
      <c r="R54" s="97" t="s">
        <v>162</v>
      </c>
    </row>
    <row r="55" spans="1:18" x14ac:dyDescent="0.45">
      <c r="A55" t="s">
        <v>16</v>
      </c>
      <c r="B55" t="s">
        <v>69</v>
      </c>
      <c r="C55" s="2" t="s">
        <v>42</v>
      </c>
      <c r="D55" t="s">
        <v>32</v>
      </c>
      <c r="E55" s="18">
        <v>0</v>
      </c>
      <c r="F55" s="18"/>
      <c r="G55" s="18"/>
      <c r="H55" s="2" t="s">
        <v>41</v>
      </c>
      <c r="I55" t="s">
        <v>34</v>
      </c>
      <c r="J55" s="2" t="s">
        <v>39</v>
      </c>
      <c r="K55" t="s">
        <v>32</v>
      </c>
      <c r="L55" s="2" t="s">
        <v>35</v>
      </c>
      <c r="M55" t="s">
        <v>36</v>
      </c>
      <c r="N55" s="2" t="s">
        <v>29</v>
      </c>
      <c r="O55" s="109" t="s">
        <v>18</v>
      </c>
      <c r="P55" s="107"/>
      <c r="Q55" s="4"/>
      <c r="R55" s="97" t="s">
        <v>163</v>
      </c>
    </row>
    <row r="56" spans="1:18" x14ac:dyDescent="0.45">
      <c r="A56" t="s">
        <v>16</v>
      </c>
      <c r="B56" t="s">
        <v>69</v>
      </c>
      <c r="C56" s="2" t="s">
        <v>42</v>
      </c>
      <c r="D56" t="s">
        <v>32</v>
      </c>
      <c r="E56" s="18">
        <v>0</v>
      </c>
      <c r="F56" s="18"/>
      <c r="G56" s="18"/>
      <c r="H56" s="2" t="s">
        <v>41</v>
      </c>
      <c r="I56" t="s">
        <v>32</v>
      </c>
      <c r="J56" s="2" t="s">
        <v>39</v>
      </c>
      <c r="K56" t="s">
        <v>34</v>
      </c>
      <c r="L56" s="2" t="s">
        <v>35</v>
      </c>
      <c r="M56" t="s">
        <v>36</v>
      </c>
      <c r="N56" s="2" t="s">
        <v>29</v>
      </c>
      <c r="O56" s="109" t="s">
        <v>18</v>
      </c>
      <c r="P56" s="107"/>
      <c r="Q56" s="4"/>
      <c r="R56" s="102" t="s">
        <v>164</v>
      </c>
    </row>
    <row r="57" spans="1:18" x14ac:dyDescent="0.45">
      <c r="A57" t="s">
        <v>16</v>
      </c>
      <c r="B57" t="s">
        <v>69</v>
      </c>
      <c r="C57" s="2" t="s">
        <v>42</v>
      </c>
      <c r="D57" t="s">
        <v>32</v>
      </c>
      <c r="E57" s="18">
        <v>0</v>
      </c>
      <c r="F57" s="18"/>
      <c r="G57" s="18"/>
      <c r="H57" s="2" t="s">
        <v>41</v>
      </c>
      <c r="I57" t="s">
        <v>34</v>
      </c>
      <c r="J57" s="2" t="s">
        <v>39</v>
      </c>
      <c r="K57" t="s">
        <v>34</v>
      </c>
      <c r="L57" s="2" t="s">
        <v>35</v>
      </c>
      <c r="M57" t="s">
        <v>36</v>
      </c>
      <c r="N57" s="2" t="s">
        <v>29</v>
      </c>
      <c r="O57" s="109" t="s">
        <v>18</v>
      </c>
      <c r="P57" s="107"/>
      <c r="Q57" s="4"/>
      <c r="R57" s="102" t="s">
        <v>164</v>
      </c>
    </row>
    <row r="58" spans="1:18" ht="28.5" x14ac:dyDescent="0.45">
      <c r="A58" t="s">
        <v>16</v>
      </c>
      <c r="B58" t="s">
        <v>69</v>
      </c>
      <c r="C58" s="2" t="s">
        <v>42</v>
      </c>
      <c r="D58" t="s">
        <v>32</v>
      </c>
      <c r="E58" s="18">
        <v>0.47245053048039404</v>
      </c>
      <c r="F58" s="20">
        <v>0.43490106096078807</v>
      </c>
      <c r="G58" s="18">
        <v>0.51</v>
      </c>
      <c r="H58" s="2" t="s">
        <v>41</v>
      </c>
      <c r="I58" t="s">
        <v>32</v>
      </c>
      <c r="J58" s="2" t="s">
        <v>39</v>
      </c>
      <c r="K58" t="s">
        <v>32</v>
      </c>
      <c r="L58" s="2" t="s">
        <v>35</v>
      </c>
      <c r="M58" t="s">
        <v>37</v>
      </c>
      <c r="N58" s="2" t="s">
        <v>29</v>
      </c>
      <c r="O58" s="109" t="s">
        <v>18</v>
      </c>
      <c r="P58" s="107"/>
      <c r="Q58" s="4"/>
      <c r="R58" s="102" t="s">
        <v>165</v>
      </c>
    </row>
    <row r="59" spans="1:18" ht="28.5" x14ac:dyDescent="0.45">
      <c r="A59" t="s">
        <v>16</v>
      </c>
      <c r="B59" t="s">
        <v>69</v>
      </c>
      <c r="C59" s="2" t="s">
        <v>42</v>
      </c>
      <c r="D59" t="s">
        <v>32</v>
      </c>
      <c r="E59" s="18">
        <v>0.47245053048039404</v>
      </c>
      <c r="F59" s="20">
        <v>0.43490106096078807</v>
      </c>
      <c r="G59" s="18">
        <v>0.51</v>
      </c>
      <c r="H59" s="2" t="s">
        <v>41</v>
      </c>
      <c r="I59" t="s">
        <v>34</v>
      </c>
      <c r="J59" s="2" t="s">
        <v>39</v>
      </c>
      <c r="K59" t="s">
        <v>32</v>
      </c>
      <c r="L59" s="2" t="s">
        <v>35</v>
      </c>
      <c r="M59" t="s">
        <v>37</v>
      </c>
      <c r="N59" s="2" t="s">
        <v>29</v>
      </c>
      <c r="O59" s="109" t="s">
        <v>18</v>
      </c>
      <c r="P59" s="107"/>
      <c r="Q59" s="4"/>
      <c r="R59" s="102" t="s">
        <v>165</v>
      </c>
    </row>
    <row r="60" spans="1:18" x14ac:dyDescent="0.45">
      <c r="A60" t="s">
        <v>16</v>
      </c>
      <c r="B60" t="s">
        <v>69</v>
      </c>
      <c r="C60" s="2" t="s">
        <v>42</v>
      </c>
      <c r="D60" t="s">
        <v>32</v>
      </c>
      <c r="E60" s="18">
        <v>0</v>
      </c>
      <c r="F60" s="18">
        <v>0</v>
      </c>
      <c r="G60" s="18">
        <v>0</v>
      </c>
      <c r="H60" s="2" t="s">
        <v>41</v>
      </c>
      <c r="I60" t="s">
        <v>32</v>
      </c>
      <c r="J60" s="2" t="s">
        <v>39</v>
      </c>
      <c r="K60" t="s">
        <v>34</v>
      </c>
      <c r="L60" s="2" t="s">
        <v>35</v>
      </c>
      <c r="M60" t="s">
        <v>37</v>
      </c>
      <c r="N60" s="2" t="s">
        <v>29</v>
      </c>
      <c r="O60" s="109" t="s">
        <v>18</v>
      </c>
      <c r="P60" s="107"/>
      <c r="Q60" s="4"/>
      <c r="R60" s="102" t="s">
        <v>164</v>
      </c>
    </row>
    <row r="61" spans="1:18" x14ac:dyDescent="0.45">
      <c r="A61" t="s">
        <v>16</v>
      </c>
      <c r="B61" t="s">
        <v>69</v>
      </c>
      <c r="C61" s="2" t="s">
        <v>42</v>
      </c>
      <c r="D61" t="s">
        <v>32</v>
      </c>
      <c r="E61" s="18">
        <v>0</v>
      </c>
      <c r="F61" s="20">
        <v>0</v>
      </c>
      <c r="G61" s="18">
        <v>0</v>
      </c>
      <c r="H61" s="2" t="s">
        <v>41</v>
      </c>
      <c r="I61" t="s">
        <v>34</v>
      </c>
      <c r="J61" s="2" t="s">
        <v>39</v>
      </c>
      <c r="K61" t="s">
        <v>34</v>
      </c>
      <c r="L61" s="2" t="s">
        <v>35</v>
      </c>
      <c r="M61" t="s">
        <v>37</v>
      </c>
      <c r="N61" s="2" t="s">
        <v>29</v>
      </c>
      <c r="O61" s="109" t="s">
        <v>18</v>
      </c>
      <c r="P61" s="107"/>
      <c r="Q61" s="4"/>
      <c r="R61" s="102" t="s">
        <v>164</v>
      </c>
    </row>
    <row r="62" spans="1:18" ht="28.5" x14ac:dyDescent="0.45">
      <c r="A62" t="s">
        <v>16</v>
      </c>
      <c r="B62" t="s">
        <v>69</v>
      </c>
      <c r="C62" s="2" t="s">
        <v>42</v>
      </c>
      <c r="D62" t="s">
        <v>32</v>
      </c>
      <c r="E62" s="18">
        <v>0.47245053048039404</v>
      </c>
      <c r="F62" s="20">
        <v>0.43490106096078807</v>
      </c>
      <c r="G62" s="18">
        <v>0.51</v>
      </c>
      <c r="H62" s="2" t="s">
        <v>41</v>
      </c>
      <c r="I62" t="s">
        <v>32</v>
      </c>
      <c r="J62" s="2" t="s">
        <v>39</v>
      </c>
      <c r="K62" t="s">
        <v>32</v>
      </c>
      <c r="L62" s="2" t="s">
        <v>35</v>
      </c>
      <c r="M62" t="s">
        <v>38</v>
      </c>
      <c r="N62" s="2" t="s">
        <v>29</v>
      </c>
      <c r="O62" s="109" t="s">
        <v>18</v>
      </c>
      <c r="P62" s="107"/>
      <c r="Q62" s="4"/>
      <c r="R62" s="102" t="s">
        <v>165</v>
      </c>
    </row>
    <row r="63" spans="1:18" ht="28.5" x14ac:dyDescent="0.45">
      <c r="A63" t="s">
        <v>16</v>
      </c>
      <c r="B63" t="s">
        <v>69</v>
      </c>
      <c r="C63" s="2" t="s">
        <v>42</v>
      </c>
      <c r="D63" t="s">
        <v>32</v>
      </c>
      <c r="E63" s="18">
        <v>0.47245053048039404</v>
      </c>
      <c r="F63" s="20">
        <v>0.43490106096078807</v>
      </c>
      <c r="G63" s="18">
        <v>0.51</v>
      </c>
      <c r="H63" s="2" t="s">
        <v>41</v>
      </c>
      <c r="I63" t="s">
        <v>34</v>
      </c>
      <c r="J63" s="2" t="s">
        <v>39</v>
      </c>
      <c r="K63" t="s">
        <v>32</v>
      </c>
      <c r="L63" s="2" t="s">
        <v>35</v>
      </c>
      <c r="M63" t="s">
        <v>38</v>
      </c>
      <c r="N63" s="2" t="s">
        <v>29</v>
      </c>
      <c r="O63" s="109" t="s">
        <v>18</v>
      </c>
      <c r="P63" s="107"/>
      <c r="Q63" s="4"/>
      <c r="R63" s="102" t="s">
        <v>165</v>
      </c>
    </row>
    <row r="64" spans="1:18" x14ac:dyDescent="0.45">
      <c r="A64" t="s">
        <v>16</v>
      </c>
      <c r="B64" t="s">
        <v>69</v>
      </c>
      <c r="C64" s="2" t="s">
        <v>42</v>
      </c>
      <c r="D64" t="s">
        <v>32</v>
      </c>
      <c r="E64" s="18">
        <v>0</v>
      </c>
      <c r="F64" s="18">
        <v>0</v>
      </c>
      <c r="G64" s="18">
        <v>0</v>
      </c>
      <c r="H64" s="2" t="s">
        <v>41</v>
      </c>
      <c r="I64" t="s">
        <v>32</v>
      </c>
      <c r="J64" s="2" t="s">
        <v>39</v>
      </c>
      <c r="K64" t="s">
        <v>34</v>
      </c>
      <c r="L64" s="2" t="s">
        <v>35</v>
      </c>
      <c r="M64" t="s">
        <v>38</v>
      </c>
      <c r="N64" s="2" t="s">
        <v>29</v>
      </c>
      <c r="O64" s="109" t="s">
        <v>18</v>
      </c>
      <c r="P64" s="107"/>
      <c r="Q64" s="4"/>
      <c r="R64" s="102" t="s">
        <v>164</v>
      </c>
    </row>
    <row r="65" spans="1:18" x14ac:dyDescent="0.45">
      <c r="A65" t="s">
        <v>16</v>
      </c>
      <c r="B65" t="s">
        <v>69</v>
      </c>
      <c r="C65" s="2" t="s">
        <v>42</v>
      </c>
      <c r="D65" t="s">
        <v>32</v>
      </c>
      <c r="E65" s="18">
        <v>0</v>
      </c>
      <c r="F65" s="18">
        <v>0</v>
      </c>
      <c r="G65" s="18">
        <v>0</v>
      </c>
      <c r="H65" s="2" t="s">
        <v>41</v>
      </c>
      <c r="I65" t="s">
        <v>34</v>
      </c>
      <c r="J65" s="2" t="s">
        <v>39</v>
      </c>
      <c r="K65" t="s">
        <v>34</v>
      </c>
      <c r="L65" s="2" t="s">
        <v>35</v>
      </c>
      <c r="M65" t="s">
        <v>38</v>
      </c>
      <c r="N65" s="2" t="s">
        <v>29</v>
      </c>
      <c r="O65" s="109" t="s">
        <v>18</v>
      </c>
      <c r="P65" s="107"/>
      <c r="Q65" s="4"/>
      <c r="R65" s="102" t="s">
        <v>164</v>
      </c>
    </row>
    <row r="66" spans="1:18" x14ac:dyDescent="0.45">
      <c r="A66" t="s">
        <v>16</v>
      </c>
      <c r="B66" t="s">
        <v>69</v>
      </c>
      <c r="C66" s="2" t="s">
        <v>42</v>
      </c>
      <c r="D66" t="s">
        <v>32</v>
      </c>
      <c r="E66" s="18">
        <v>0.01</v>
      </c>
      <c r="F66" s="18">
        <v>5.0000000000000001E-3</v>
      </c>
      <c r="G66" s="18">
        <v>1.4999999999999999E-2</v>
      </c>
      <c r="H66" s="2" t="s">
        <v>41</v>
      </c>
      <c r="I66" t="s">
        <v>32</v>
      </c>
      <c r="J66" s="2" t="s">
        <v>39</v>
      </c>
      <c r="K66" t="s">
        <v>32</v>
      </c>
      <c r="L66" s="2" t="s">
        <v>35</v>
      </c>
      <c r="M66" t="s">
        <v>36</v>
      </c>
      <c r="N66" s="2" t="s">
        <v>29</v>
      </c>
      <c r="O66" s="109" t="s">
        <v>30</v>
      </c>
      <c r="P66" s="107"/>
      <c r="Q66" s="4"/>
      <c r="R66" s="97" t="s">
        <v>166</v>
      </c>
    </row>
    <row r="67" spans="1:18" x14ac:dyDescent="0.45">
      <c r="A67" t="s">
        <v>16</v>
      </c>
      <c r="B67" t="s">
        <v>69</v>
      </c>
      <c r="C67" s="2" t="s">
        <v>42</v>
      </c>
      <c r="D67" t="s">
        <v>32</v>
      </c>
      <c r="E67" s="18">
        <v>0</v>
      </c>
      <c r="F67" s="18">
        <v>0</v>
      </c>
      <c r="G67" s="18">
        <v>0</v>
      </c>
      <c r="H67" s="2" t="s">
        <v>41</v>
      </c>
      <c r="I67" t="s">
        <v>34</v>
      </c>
      <c r="J67" s="2" t="s">
        <v>39</v>
      </c>
      <c r="K67" t="s">
        <v>32</v>
      </c>
      <c r="L67" s="2" t="s">
        <v>35</v>
      </c>
      <c r="M67" t="s">
        <v>36</v>
      </c>
      <c r="N67" s="2" t="s">
        <v>29</v>
      </c>
      <c r="O67" s="109" t="s">
        <v>30</v>
      </c>
      <c r="P67" s="107"/>
      <c r="Q67" s="4"/>
      <c r="R67" s="97" t="s">
        <v>163</v>
      </c>
    </row>
    <row r="68" spans="1:18" x14ac:dyDescent="0.45">
      <c r="A68" t="s">
        <v>16</v>
      </c>
      <c r="B68" t="s">
        <v>69</v>
      </c>
      <c r="C68" s="2" t="s">
        <v>42</v>
      </c>
      <c r="D68" t="s">
        <v>32</v>
      </c>
      <c r="E68" s="18">
        <v>0</v>
      </c>
      <c r="F68" s="18">
        <v>0</v>
      </c>
      <c r="G68" s="18">
        <v>0</v>
      </c>
      <c r="H68" s="2" t="s">
        <v>41</v>
      </c>
      <c r="I68" t="s">
        <v>32</v>
      </c>
      <c r="J68" s="2" t="s">
        <v>39</v>
      </c>
      <c r="K68" t="s">
        <v>34</v>
      </c>
      <c r="L68" s="2" t="s">
        <v>35</v>
      </c>
      <c r="M68" t="s">
        <v>36</v>
      </c>
      <c r="N68" s="2" t="s">
        <v>29</v>
      </c>
      <c r="O68" s="109" t="s">
        <v>30</v>
      </c>
      <c r="P68" s="107"/>
      <c r="Q68" s="4"/>
      <c r="R68" s="102" t="s">
        <v>164</v>
      </c>
    </row>
    <row r="69" spans="1:18" x14ac:dyDescent="0.45">
      <c r="A69" t="s">
        <v>16</v>
      </c>
      <c r="B69" t="s">
        <v>69</v>
      </c>
      <c r="C69" s="2" t="s">
        <v>42</v>
      </c>
      <c r="D69" t="s">
        <v>32</v>
      </c>
      <c r="E69" s="18">
        <v>0</v>
      </c>
      <c r="F69" s="18">
        <v>0</v>
      </c>
      <c r="G69" s="18">
        <v>0</v>
      </c>
      <c r="H69" s="2" t="s">
        <v>41</v>
      </c>
      <c r="I69" t="s">
        <v>34</v>
      </c>
      <c r="J69" s="2" t="s">
        <v>39</v>
      </c>
      <c r="K69" t="s">
        <v>34</v>
      </c>
      <c r="L69" s="2" t="s">
        <v>35</v>
      </c>
      <c r="M69" t="s">
        <v>36</v>
      </c>
      <c r="N69" s="2" t="s">
        <v>29</v>
      </c>
      <c r="O69" s="109" t="s">
        <v>30</v>
      </c>
      <c r="P69" s="107"/>
      <c r="Q69" s="4"/>
      <c r="R69" s="102" t="s">
        <v>164</v>
      </c>
    </row>
    <row r="70" spans="1:18" x14ac:dyDescent="0.45">
      <c r="A70" t="s">
        <v>16</v>
      </c>
      <c r="B70" t="s">
        <v>69</v>
      </c>
      <c r="C70" s="2" t="s">
        <v>42</v>
      </c>
      <c r="D70" t="s">
        <v>32</v>
      </c>
      <c r="E70" s="18">
        <v>0.6</v>
      </c>
      <c r="F70" s="18">
        <v>0.5</v>
      </c>
      <c r="G70" s="18">
        <v>0.7</v>
      </c>
      <c r="H70" s="2" t="s">
        <v>41</v>
      </c>
      <c r="I70" t="s">
        <v>32</v>
      </c>
      <c r="J70" s="2" t="s">
        <v>39</v>
      </c>
      <c r="K70" t="s">
        <v>32</v>
      </c>
      <c r="L70" s="2" t="s">
        <v>35</v>
      </c>
      <c r="M70" t="s">
        <v>37</v>
      </c>
      <c r="N70" s="2" t="s">
        <v>29</v>
      </c>
      <c r="O70" s="109" t="s">
        <v>30</v>
      </c>
      <c r="P70" s="107"/>
      <c r="Q70" s="4"/>
      <c r="R70" s="102" t="s">
        <v>167</v>
      </c>
    </row>
    <row r="71" spans="1:18" x14ac:dyDescent="0.45">
      <c r="A71" t="s">
        <v>16</v>
      </c>
      <c r="B71" t="s">
        <v>69</v>
      </c>
      <c r="C71" s="2" t="s">
        <v>42</v>
      </c>
      <c r="D71" t="s">
        <v>32</v>
      </c>
      <c r="E71" s="18">
        <v>0.6</v>
      </c>
      <c r="F71" s="18">
        <v>0.5</v>
      </c>
      <c r="G71" s="18">
        <v>0.7</v>
      </c>
      <c r="H71" s="2" t="s">
        <v>41</v>
      </c>
      <c r="I71" t="s">
        <v>34</v>
      </c>
      <c r="J71" s="2" t="s">
        <v>39</v>
      </c>
      <c r="K71" t="s">
        <v>32</v>
      </c>
      <c r="L71" s="2" t="s">
        <v>35</v>
      </c>
      <c r="M71" t="s">
        <v>37</v>
      </c>
      <c r="N71" s="2" t="s">
        <v>29</v>
      </c>
      <c r="O71" s="109" t="s">
        <v>30</v>
      </c>
      <c r="P71" s="107"/>
      <c r="Q71" s="4"/>
      <c r="R71" s="102" t="s">
        <v>167</v>
      </c>
    </row>
    <row r="72" spans="1:18" x14ac:dyDescent="0.45">
      <c r="A72" t="s">
        <v>16</v>
      </c>
      <c r="B72" t="s">
        <v>69</v>
      </c>
      <c r="C72" s="2" t="s">
        <v>42</v>
      </c>
      <c r="D72" t="s">
        <v>32</v>
      </c>
      <c r="E72" s="18">
        <v>0</v>
      </c>
      <c r="F72" s="18">
        <v>0</v>
      </c>
      <c r="G72" s="18">
        <v>0</v>
      </c>
      <c r="H72" s="2" t="s">
        <v>41</v>
      </c>
      <c r="I72" t="s">
        <v>32</v>
      </c>
      <c r="J72" s="2" t="s">
        <v>39</v>
      </c>
      <c r="K72" t="s">
        <v>34</v>
      </c>
      <c r="L72" s="2" t="s">
        <v>35</v>
      </c>
      <c r="M72" t="s">
        <v>37</v>
      </c>
      <c r="N72" s="2" t="s">
        <v>29</v>
      </c>
      <c r="O72" s="109" t="s">
        <v>30</v>
      </c>
      <c r="P72" s="107"/>
      <c r="Q72" s="4"/>
      <c r="R72" s="102" t="s">
        <v>164</v>
      </c>
    </row>
    <row r="73" spans="1:18" x14ac:dyDescent="0.45">
      <c r="A73" t="s">
        <v>16</v>
      </c>
      <c r="B73" t="s">
        <v>69</v>
      </c>
      <c r="C73" s="2" t="s">
        <v>42</v>
      </c>
      <c r="D73" t="s">
        <v>32</v>
      </c>
      <c r="E73" s="18">
        <v>0</v>
      </c>
      <c r="F73" s="18">
        <v>0</v>
      </c>
      <c r="G73" s="18">
        <v>0</v>
      </c>
      <c r="H73" s="2" t="s">
        <v>41</v>
      </c>
      <c r="I73" t="s">
        <v>34</v>
      </c>
      <c r="J73" s="2" t="s">
        <v>39</v>
      </c>
      <c r="K73" t="s">
        <v>34</v>
      </c>
      <c r="L73" s="2" t="s">
        <v>35</v>
      </c>
      <c r="M73" t="s">
        <v>37</v>
      </c>
      <c r="N73" s="2" t="s">
        <v>29</v>
      </c>
      <c r="O73" s="109" t="s">
        <v>30</v>
      </c>
      <c r="P73" s="107"/>
      <c r="Q73" s="4"/>
      <c r="R73" s="102" t="s">
        <v>164</v>
      </c>
    </row>
    <row r="74" spans="1:18" x14ac:dyDescent="0.45">
      <c r="A74" t="s">
        <v>16</v>
      </c>
      <c r="B74" t="s">
        <v>69</v>
      </c>
      <c r="C74" s="2" t="s">
        <v>42</v>
      </c>
      <c r="D74" t="s">
        <v>32</v>
      </c>
      <c r="E74" s="18">
        <v>0.6</v>
      </c>
      <c r="F74" s="18">
        <v>0.5</v>
      </c>
      <c r="G74" s="18">
        <v>0.7</v>
      </c>
      <c r="H74" s="2" t="s">
        <v>41</v>
      </c>
      <c r="I74" t="s">
        <v>32</v>
      </c>
      <c r="J74" s="2" t="s">
        <v>39</v>
      </c>
      <c r="K74" t="s">
        <v>32</v>
      </c>
      <c r="L74" s="2" t="s">
        <v>35</v>
      </c>
      <c r="M74" t="s">
        <v>38</v>
      </c>
      <c r="N74" s="2" t="s">
        <v>29</v>
      </c>
      <c r="O74" s="109" t="s">
        <v>30</v>
      </c>
      <c r="P74" s="107"/>
      <c r="Q74" s="4"/>
      <c r="R74" s="102" t="s">
        <v>167</v>
      </c>
    </row>
    <row r="75" spans="1:18" x14ac:dyDescent="0.45">
      <c r="A75" t="s">
        <v>16</v>
      </c>
      <c r="B75" t="s">
        <v>69</v>
      </c>
      <c r="C75" s="2" t="s">
        <v>42</v>
      </c>
      <c r="D75" t="s">
        <v>32</v>
      </c>
      <c r="E75" s="18">
        <v>0.6</v>
      </c>
      <c r="F75" s="18">
        <v>0.5</v>
      </c>
      <c r="G75" s="18">
        <v>0.7</v>
      </c>
      <c r="H75" s="2" t="s">
        <v>41</v>
      </c>
      <c r="I75" t="s">
        <v>34</v>
      </c>
      <c r="J75" s="2" t="s">
        <v>39</v>
      </c>
      <c r="K75" t="s">
        <v>32</v>
      </c>
      <c r="L75" s="2" t="s">
        <v>35</v>
      </c>
      <c r="M75" t="s">
        <v>38</v>
      </c>
      <c r="N75" s="2" t="s">
        <v>29</v>
      </c>
      <c r="O75" s="109" t="s">
        <v>30</v>
      </c>
      <c r="P75" s="107"/>
      <c r="Q75" s="4"/>
      <c r="R75" s="102" t="s">
        <v>168</v>
      </c>
    </row>
    <row r="76" spans="1:18" x14ac:dyDescent="0.45">
      <c r="A76" t="s">
        <v>16</v>
      </c>
      <c r="B76" t="s">
        <v>69</v>
      </c>
      <c r="C76" s="2" t="s">
        <v>42</v>
      </c>
      <c r="D76" t="s">
        <v>32</v>
      </c>
      <c r="E76" s="18">
        <v>0</v>
      </c>
      <c r="F76" s="18">
        <v>0</v>
      </c>
      <c r="G76" s="18">
        <v>0</v>
      </c>
      <c r="H76" s="2" t="s">
        <v>41</v>
      </c>
      <c r="I76" t="s">
        <v>32</v>
      </c>
      <c r="J76" s="2" t="s">
        <v>39</v>
      </c>
      <c r="K76" t="s">
        <v>34</v>
      </c>
      <c r="L76" s="2" t="s">
        <v>35</v>
      </c>
      <c r="M76" t="s">
        <v>38</v>
      </c>
      <c r="N76" s="2" t="s">
        <v>29</v>
      </c>
      <c r="O76" s="109" t="s">
        <v>30</v>
      </c>
      <c r="P76" s="107"/>
      <c r="Q76" s="4"/>
      <c r="R76" s="102" t="s">
        <v>164</v>
      </c>
    </row>
    <row r="77" spans="1:18" x14ac:dyDescent="0.45">
      <c r="A77" t="s">
        <v>16</v>
      </c>
      <c r="B77" t="s">
        <v>69</v>
      </c>
      <c r="C77" s="2" t="s">
        <v>42</v>
      </c>
      <c r="D77" t="s">
        <v>32</v>
      </c>
      <c r="E77" s="18">
        <v>0</v>
      </c>
      <c r="F77" s="18">
        <v>0</v>
      </c>
      <c r="G77" s="18">
        <v>0</v>
      </c>
      <c r="H77" s="2" t="s">
        <v>41</v>
      </c>
      <c r="I77" t="s">
        <v>34</v>
      </c>
      <c r="J77" s="2" t="s">
        <v>39</v>
      </c>
      <c r="K77" t="s">
        <v>34</v>
      </c>
      <c r="L77" s="2" t="s">
        <v>35</v>
      </c>
      <c r="M77" t="s">
        <v>38</v>
      </c>
      <c r="N77" s="2" t="s">
        <v>29</v>
      </c>
      <c r="O77" s="109" t="s">
        <v>30</v>
      </c>
      <c r="P77" s="107"/>
      <c r="Q77" s="4"/>
      <c r="R77" s="102" t="s">
        <v>164</v>
      </c>
    </row>
    <row r="78" spans="1:18" ht="42.75" x14ac:dyDescent="0.45">
      <c r="A78" t="s">
        <v>16</v>
      </c>
      <c r="B78" t="s">
        <v>69</v>
      </c>
      <c r="C78" s="2" t="s">
        <v>43</v>
      </c>
      <c r="D78" t="s">
        <v>32</v>
      </c>
      <c r="E78" s="26">
        <v>1.4886795037080798E-5</v>
      </c>
      <c r="F78" s="18">
        <v>0</v>
      </c>
      <c r="G78" s="18">
        <v>6.1152233204817355E-5</v>
      </c>
      <c r="H78" s="2" t="s">
        <v>42</v>
      </c>
      <c r="I78" t="s">
        <v>32</v>
      </c>
      <c r="J78" s="2" t="s">
        <v>41</v>
      </c>
      <c r="K78" t="s">
        <v>32</v>
      </c>
      <c r="L78" s="2" t="s">
        <v>39</v>
      </c>
      <c r="M78" t="s">
        <v>32</v>
      </c>
      <c r="N78" s="2" t="s">
        <v>35</v>
      </c>
      <c r="O78" s="109" t="s">
        <v>36</v>
      </c>
      <c r="R78" s="102" t="s">
        <v>169</v>
      </c>
    </row>
    <row r="79" spans="1:18" x14ac:dyDescent="0.45">
      <c r="A79" t="s">
        <v>16</v>
      </c>
      <c r="B79" t="s">
        <v>69</v>
      </c>
      <c r="C79" s="2" t="s">
        <v>43</v>
      </c>
      <c r="D79" t="s">
        <v>32</v>
      </c>
      <c r="E79" s="26">
        <v>0</v>
      </c>
      <c r="F79" s="18">
        <v>0</v>
      </c>
      <c r="G79" s="18">
        <v>0</v>
      </c>
      <c r="H79" s="2" t="s">
        <v>42</v>
      </c>
      <c r="I79" t="s">
        <v>34</v>
      </c>
      <c r="J79" s="2" t="s">
        <v>41</v>
      </c>
      <c r="K79" t="s">
        <v>32</v>
      </c>
      <c r="L79" s="2" t="s">
        <v>39</v>
      </c>
      <c r="M79" t="s">
        <v>32</v>
      </c>
      <c r="N79" s="2" t="s">
        <v>35</v>
      </c>
      <c r="O79" s="109" t="s">
        <v>36</v>
      </c>
      <c r="R79" s="102" t="s">
        <v>124</v>
      </c>
    </row>
    <row r="80" spans="1:18" ht="42.75" x14ac:dyDescent="0.45">
      <c r="A80" t="s">
        <v>16</v>
      </c>
      <c r="B80" t="s">
        <v>69</v>
      </c>
      <c r="C80" s="2" t="s">
        <v>43</v>
      </c>
      <c r="D80" t="s">
        <v>32</v>
      </c>
      <c r="E80" s="26">
        <v>4.0234581181299419E-4</v>
      </c>
      <c r="F80" s="25">
        <v>0</v>
      </c>
      <c r="G80" s="25">
        <v>1.3589385156626067E-3</v>
      </c>
      <c r="H80" s="2" t="s">
        <v>42</v>
      </c>
      <c r="I80" t="s">
        <v>32</v>
      </c>
      <c r="J80" s="2" t="s">
        <v>41</v>
      </c>
      <c r="K80" t="s">
        <v>34</v>
      </c>
      <c r="L80" s="2" t="s">
        <v>39</v>
      </c>
      <c r="M80" t="s">
        <v>32</v>
      </c>
      <c r="N80" s="2" t="s">
        <v>35</v>
      </c>
      <c r="O80" s="109" t="s">
        <v>36</v>
      </c>
      <c r="R80" s="102" t="s">
        <v>169</v>
      </c>
    </row>
    <row r="81" spans="1:18" x14ac:dyDescent="0.45">
      <c r="A81" t="s">
        <v>16</v>
      </c>
      <c r="B81" t="s">
        <v>69</v>
      </c>
      <c r="C81" s="2" t="s">
        <v>43</v>
      </c>
      <c r="D81" t="s">
        <v>32</v>
      </c>
      <c r="E81" s="18">
        <v>0</v>
      </c>
      <c r="F81" s="18">
        <v>0</v>
      </c>
      <c r="G81" s="18">
        <v>0</v>
      </c>
      <c r="H81" s="2" t="s">
        <v>42</v>
      </c>
      <c r="I81" t="s">
        <v>34</v>
      </c>
      <c r="J81" s="2" t="s">
        <v>41</v>
      </c>
      <c r="K81" t="s">
        <v>34</v>
      </c>
      <c r="L81" s="2" t="s">
        <v>39</v>
      </c>
      <c r="M81" t="s">
        <v>32</v>
      </c>
      <c r="N81" s="2" t="s">
        <v>35</v>
      </c>
      <c r="O81" s="109" t="s">
        <v>36</v>
      </c>
      <c r="R81" s="102" t="s">
        <v>124</v>
      </c>
    </row>
    <row r="82" spans="1:18" x14ac:dyDescent="0.45">
      <c r="A82" t="s">
        <v>16</v>
      </c>
      <c r="B82" t="s">
        <v>69</v>
      </c>
      <c r="C82" s="2" t="s">
        <v>43</v>
      </c>
      <c r="D82" t="s">
        <v>32</v>
      </c>
      <c r="E82" s="18">
        <v>0</v>
      </c>
      <c r="F82" s="18">
        <v>0</v>
      </c>
      <c r="G82" s="18">
        <v>0</v>
      </c>
      <c r="H82" s="2" t="s">
        <v>42</v>
      </c>
      <c r="I82" t="s">
        <v>32</v>
      </c>
      <c r="J82" s="2" t="s">
        <v>41</v>
      </c>
      <c r="K82" t="s">
        <v>32</v>
      </c>
      <c r="L82" s="2" t="s">
        <v>39</v>
      </c>
      <c r="M82" t="s">
        <v>34</v>
      </c>
      <c r="N82" s="2" t="s">
        <v>35</v>
      </c>
      <c r="O82" s="109" t="s">
        <v>36</v>
      </c>
      <c r="R82" s="102" t="s">
        <v>170</v>
      </c>
    </row>
    <row r="83" spans="1:18" x14ac:dyDescent="0.45">
      <c r="A83" t="s">
        <v>16</v>
      </c>
      <c r="B83" t="s">
        <v>69</v>
      </c>
      <c r="C83" s="2" t="s">
        <v>43</v>
      </c>
      <c r="D83" t="s">
        <v>32</v>
      </c>
      <c r="E83" s="18">
        <v>0</v>
      </c>
      <c r="F83" s="18">
        <v>0</v>
      </c>
      <c r="G83" s="18">
        <v>0</v>
      </c>
      <c r="H83" s="2" t="s">
        <v>42</v>
      </c>
      <c r="I83" t="s">
        <v>34</v>
      </c>
      <c r="J83" s="2" t="s">
        <v>41</v>
      </c>
      <c r="K83" t="s">
        <v>32</v>
      </c>
      <c r="L83" s="2" t="s">
        <v>39</v>
      </c>
      <c r="M83" t="s">
        <v>34</v>
      </c>
      <c r="N83" s="2" t="s">
        <v>35</v>
      </c>
      <c r="O83" s="109" t="s">
        <v>36</v>
      </c>
      <c r="R83" s="102" t="s">
        <v>170</v>
      </c>
    </row>
    <row r="84" spans="1:18" x14ac:dyDescent="0.45">
      <c r="A84" t="s">
        <v>16</v>
      </c>
      <c r="B84" t="s">
        <v>69</v>
      </c>
      <c r="C84" s="2" t="s">
        <v>43</v>
      </c>
      <c r="D84" t="s">
        <v>32</v>
      </c>
      <c r="E84" s="18">
        <v>0</v>
      </c>
      <c r="F84" s="18">
        <v>0</v>
      </c>
      <c r="G84" s="18">
        <v>0</v>
      </c>
      <c r="H84" s="2" t="s">
        <v>42</v>
      </c>
      <c r="I84" t="s">
        <v>32</v>
      </c>
      <c r="J84" s="2" t="s">
        <v>41</v>
      </c>
      <c r="K84" t="s">
        <v>34</v>
      </c>
      <c r="L84" s="2" t="s">
        <v>39</v>
      </c>
      <c r="M84" t="s">
        <v>34</v>
      </c>
      <c r="N84" s="2" t="s">
        <v>35</v>
      </c>
      <c r="O84" s="109" t="s">
        <v>36</v>
      </c>
      <c r="R84" s="102" t="s">
        <v>170</v>
      </c>
    </row>
    <row r="85" spans="1:18" x14ac:dyDescent="0.45">
      <c r="A85" t="s">
        <v>16</v>
      </c>
      <c r="B85" t="s">
        <v>69</v>
      </c>
      <c r="C85" s="2" t="s">
        <v>43</v>
      </c>
      <c r="D85" t="s">
        <v>32</v>
      </c>
      <c r="E85" s="18">
        <v>0</v>
      </c>
      <c r="F85" s="18">
        <v>0</v>
      </c>
      <c r="G85" s="18">
        <v>0</v>
      </c>
      <c r="H85" s="2" t="s">
        <v>42</v>
      </c>
      <c r="I85" t="s">
        <v>34</v>
      </c>
      <c r="J85" s="2" t="s">
        <v>41</v>
      </c>
      <c r="K85" t="s">
        <v>34</v>
      </c>
      <c r="L85" s="2" t="s">
        <v>39</v>
      </c>
      <c r="M85" t="s">
        <v>34</v>
      </c>
      <c r="N85" s="2" t="s">
        <v>35</v>
      </c>
      <c r="O85" s="109" t="s">
        <v>36</v>
      </c>
      <c r="R85" s="102" t="s">
        <v>170</v>
      </c>
    </row>
    <row r="86" spans="1:18" ht="42.75" x14ac:dyDescent="0.45">
      <c r="A86" t="s">
        <v>16</v>
      </c>
      <c r="B86" t="s">
        <v>69</v>
      </c>
      <c r="C86" s="2" t="s">
        <v>43</v>
      </c>
      <c r="D86" t="s">
        <v>32</v>
      </c>
      <c r="E86" s="30">
        <v>5.9547180148323187E-4</v>
      </c>
      <c r="F86" s="23">
        <v>1.686335033877831E-4</v>
      </c>
      <c r="G86" s="23">
        <v>1.2230446640963469E-3</v>
      </c>
      <c r="H86" s="2" t="s">
        <v>42</v>
      </c>
      <c r="I86" t="s">
        <v>32</v>
      </c>
      <c r="J86" s="2" t="s">
        <v>41</v>
      </c>
      <c r="K86" t="s">
        <v>32</v>
      </c>
      <c r="L86" s="2" t="s">
        <v>39</v>
      </c>
      <c r="M86" t="s">
        <v>32</v>
      </c>
      <c r="N86" s="2" t="s">
        <v>35</v>
      </c>
      <c r="O86" s="109" t="s">
        <v>37</v>
      </c>
      <c r="R86" s="102" t="s">
        <v>132</v>
      </c>
    </row>
    <row r="87" spans="1:18" ht="42.75" x14ac:dyDescent="0.45">
      <c r="A87" t="s">
        <v>16</v>
      </c>
      <c r="B87" t="s">
        <v>69</v>
      </c>
      <c r="C87" s="2" t="s">
        <v>43</v>
      </c>
      <c r="D87" t="s">
        <v>32</v>
      </c>
      <c r="E87" s="30">
        <v>7.443397518540399E-3</v>
      </c>
      <c r="F87" s="23">
        <v>5.6211167795927703E-3</v>
      </c>
      <c r="G87" s="23">
        <v>9.4080358776642073E-3</v>
      </c>
      <c r="H87" s="2" t="s">
        <v>42</v>
      </c>
      <c r="I87" t="s">
        <v>34</v>
      </c>
      <c r="J87" s="2" t="s">
        <v>41</v>
      </c>
      <c r="K87" t="s">
        <v>32</v>
      </c>
      <c r="L87" s="2" t="s">
        <v>39</v>
      </c>
      <c r="M87" t="s">
        <v>32</v>
      </c>
      <c r="N87" s="2" t="s">
        <v>35</v>
      </c>
      <c r="O87" s="109" t="s">
        <v>37</v>
      </c>
      <c r="R87" s="102" t="s">
        <v>132</v>
      </c>
    </row>
    <row r="88" spans="1:18" ht="42.75" x14ac:dyDescent="0.45">
      <c r="A88" t="s">
        <v>16</v>
      </c>
      <c r="B88" t="s">
        <v>69</v>
      </c>
      <c r="C88" s="2" t="s">
        <v>43</v>
      </c>
      <c r="D88" t="s">
        <v>32</v>
      </c>
      <c r="E88" s="30">
        <v>1.6093832472519769E-2</v>
      </c>
      <c r="F88" s="23">
        <v>5.8149483926821701E-3</v>
      </c>
      <c r="G88" s="23">
        <v>2.717877031325213E-2</v>
      </c>
      <c r="H88" s="2" t="s">
        <v>42</v>
      </c>
      <c r="I88" t="s">
        <v>32</v>
      </c>
      <c r="J88" s="2" t="s">
        <v>41</v>
      </c>
      <c r="K88" t="s">
        <v>34</v>
      </c>
      <c r="L88" s="2" t="s">
        <v>39</v>
      </c>
      <c r="M88" t="s">
        <v>32</v>
      </c>
      <c r="N88" s="2" t="s">
        <v>35</v>
      </c>
      <c r="O88" s="109" t="s">
        <v>37</v>
      </c>
      <c r="R88" s="102" t="s">
        <v>132</v>
      </c>
    </row>
    <row r="89" spans="1:18" ht="42.75" x14ac:dyDescent="0.45">
      <c r="A89" t="s">
        <v>16</v>
      </c>
      <c r="B89" t="s">
        <v>69</v>
      </c>
      <c r="C89" s="2" t="s">
        <v>43</v>
      </c>
      <c r="D89" t="s">
        <v>32</v>
      </c>
      <c r="E89" s="30">
        <v>0.20117290590649708</v>
      </c>
      <c r="F89" s="23">
        <v>0.19383161308940569</v>
      </c>
      <c r="G89" s="23">
        <v>0.20906746394809331</v>
      </c>
      <c r="H89" s="2" t="s">
        <v>42</v>
      </c>
      <c r="I89" t="s">
        <v>34</v>
      </c>
      <c r="J89" s="2" t="s">
        <v>41</v>
      </c>
      <c r="K89" t="s">
        <v>34</v>
      </c>
      <c r="L89" s="2" t="s">
        <v>39</v>
      </c>
      <c r="M89" t="s">
        <v>32</v>
      </c>
      <c r="N89" s="2" t="s">
        <v>35</v>
      </c>
      <c r="O89" s="109" t="s">
        <v>37</v>
      </c>
      <c r="R89" s="102" t="s">
        <v>132</v>
      </c>
    </row>
    <row r="90" spans="1:18" x14ac:dyDescent="0.45">
      <c r="A90" t="s">
        <v>16</v>
      </c>
      <c r="B90" t="s">
        <v>69</v>
      </c>
      <c r="C90" s="2" t="s">
        <v>43</v>
      </c>
      <c r="D90" t="s">
        <v>32</v>
      </c>
      <c r="E90" s="18">
        <v>0</v>
      </c>
      <c r="F90" s="18">
        <v>0</v>
      </c>
      <c r="G90" s="18">
        <v>0</v>
      </c>
      <c r="H90" s="2" t="s">
        <v>42</v>
      </c>
      <c r="I90" t="s">
        <v>32</v>
      </c>
      <c r="J90" s="2" t="s">
        <v>41</v>
      </c>
      <c r="K90" t="s">
        <v>32</v>
      </c>
      <c r="L90" s="2" t="s">
        <v>39</v>
      </c>
      <c r="M90" t="s">
        <v>34</v>
      </c>
      <c r="N90" s="2" t="s">
        <v>35</v>
      </c>
      <c r="O90" s="109" t="s">
        <v>37</v>
      </c>
      <c r="R90" s="102" t="s">
        <v>170</v>
      </c>
    </row>
    <row r="91" spans="1:18" x14ac:dyDescent="0.45">
      <c r="A91" t="s">
        <v>16</v>
      </c>
      <c r="B91" t="s">
        <v>69</v>
      </c>
      <c r="C91" s="2" t="s">
        <v>43</v>
      </c>
      <c r="D91" t="s">
        <v>32</v>
      </c>
      <c r="E91" s="18">
        <v>0</v>
      </c>
      <c r="F91" s="18">
        <v>0</v>
      </c>
      <c r="G91" s="18">
        <v>0</v>
      </c>
      <c r="H91" s="2" t="s">
        <v>42</v>
      </c>
      <c r="I91" t="s">
        <v>34</v>
      </c>
      <c r="J91" s="2" t="s">
        <v>41</v>
      </c>
      <c r="K91" t="s">
        <v>32</v>
      </c>
      <c r="L91" s="2" t="s">
        <v>39</v>
      </c>
      <c r="M91" t="s">
        <v>34</v>
      </c>
      <c r="N91" s="2" t="s">
        <v>35</v>
      </c>
      <c r="O91" s="109" t="s">
        <v>37</v>
      </c>
      <c r="R91" s="102" t="s">
        <v>170</v>
      </c>
    </row>
    <row r="92" spans="1:18" x14ac:dyDescent="0.45">
      <c r="A92" t="s">
        <v>16</v>
      </c>
      <c r="B92" t="s">
        <v>69</v>
      </c>
      <c r="C92" s="2" t="s">
        <v>43</v>
      </c>
      <c r="D92" t="s">
        <v>32</v>
      </c>
      <c r="E92" s="18">
        <v>0</v>
      </c>
      <c r="F92" s="18">
        <v>0</v>
      </c>
      <c r="G92" s="18">
        <v>0</v>
      </c>
      <c r="H92" s="2" t="s">
        <v>42</v>
      </c>
      <c r="I92" t="s">
        <v>32</v>
      </c>
      <c r="J92" s="2" t="s">
        <v>41</v>
      </c>
      <c r="K92" t="s">
        <v>34</v>
      </c>
      <c r="L92" s="2" t="s">
        <v>39</v>
      </c>
      <c r="M92" t="s">
        <v>34</v>
      </c>
      <c r="N92" s="2" t="s">
        <v>35</v>
      </c>
      <c r="O92" s="109" t="s">
        <v>37</v>
      </c>
      <c r="R92" s="102" t="s">
        <v>170</v>
      </c>
    </row>
    <row r="93" spans="1:18" x14ac:dyDescent="0.45">
      <c r="A93" t="s">
        <v>16</v>
      </c>
      <c r="B93" t="s">
        <v>69</v>
      </c>
      <c r="C93" s="2" t="s">
        <v>43</v>
      </c>
      <c r="D93" t="s">
        <v>32</v>
      </c>
      <c r="E93" s="18">
        <v>0</v>
      </c>
      <c r="F93" s="18">
        <v>0</v>
      </c>
      <c r="G93" s="18">
        <v>0</v>
      </c>
      <c r="H93" s="2" t="s">
        <v>42</v>
      </c>
      <c r="I93" t="s">
        <v>34</v>
      </c>
      <c r="J93" s="2" t="s">
        <v>41</v>
      </c>
      <c r="K93" t="s">
        <v>34</v>
      </c>
      <c r="L93" s="2" t="s">
        <v>39</v>
      </c>
      <c r="M93" t="s">
        <v>34</v>
      </c>
      <c r="N93" s="2" t="s">
        <v>35</v>
      </c>
      <c r="O93" s="109" t="s">
        <v>37</v>
      </c>
      <c r="R93" s="102" t="s">
        <v>170</v>
      </c>
    </row>
    <row r="94" spans="1:18" ht="42.75" x14ac:dyDescent="0.45">
      <c r="A94" t="s">
        <v>16</v>
      </c>
      <c r="B94" t="s">
        <v>69</v>
      </c>
      <c r="C94" s="2" t="s">
        <v>43</v>
      </c>
      <c r="D94" t="s">
        <v>32</v>
      </c>
      <c r="E94" s="30">
        <v>5.9547180148323187E-4</v>
      </c>
      <c r="F94" s="23">
        <v>1.686335033877831E-4</v>
      </c>
      <c r="G94" s="23">
        <v>1.2230446640963469E-3</v>
      </c>
      <c r="H94" s="2" t="s">
        <v>42</v>
      </c>
      <c r="I94" t="s">
        <v>32</v>
      </c>
      <c r="J94" s="2" t="s">
        <v>41</v>
      </c>
      <c r="K94" t="s">
        <v>32</v>
      </c>
      <c r="L94" s="2" t="s">
        <v>39</v>
      </c>
      <c r="M94" t="s">
        <v>32</v>
      </c>
      <c r="N94" s="2" t="s">
        <v>35</v>
      </c>
      <c r="O94" s="109" t="s">
        <v>38</v>
      </c>
      <c r="R94" s="102" t="s">
        <v>132</v>
      </c>
    </row>
    <row r="95" spans="1:18" ht="42.75" x14ac:dyDescent="0.45">
      <c r="A95" t="s">
        <v>16</v>
      </c>
      <c r="B95" t="s">
        <v>69</v>
      </c>
      <c r="C95" s="2" t="s">
        <v>43</v>
      </c>
      <c r="D95" t="s">
        <v>32</v>
      </c>
      <c r="E95" s="30">
        <v>7.443397518540399E-3</v>
      </c>
      <c r="F95" s="23">
        <v>5.6211167795927703E-3</v>
      </c>
      <c r="G95" s="23">
        <v>9.4080358776642073E-3</v>
      </c>
      <c r="H95" s="2" t="s">
        <v>42</v>
      </c>
      <c r="I95" t="s">
        <v>34</v>
      </c>
      <c r="J95" s="2" t="s">
        <v>41</v>
      </c>
      <c r="K95" t="s">
        <v>32</v>
      </c>
      <c r="L95" s="2" t="s">
        <v>39</v>
      </c>
      <c r="M95" t="s">
        <v>32</v>
      </c>
      <c r="N95" s="2" t="s">
        <v>35</v>
      </c>
      <c r="O95" s="109" t="s">
        <v>38</v>
      </c>
      <c r="R95" s="102" t="s">
        <v>132</v>
      </c>
    </row>
    <row r="96" spans="1:18" ht="42.75" x14ac:dyDescent="0.45">
      <c r="A96" t="s">
        <v>16</v>
      </c>
      <c r="B96" t="s">
        <v>69</v>
      </c>
      <c r="C96" s="2" t="s">
        <v>43</v>
      </c>
      <c r="D96" t="s">
        <v>32</v>
      </c>
      <c r="E96" s="30">
        <v>1.6093832472519769E-2</v>
      </c>
      <c r="F96" s="23">
        <v>5.8149483926821701E-3</v>
      </c>
      <c r="G96" s="23">
        <v>2.717877031325213E-2</v>
      </c>
      <c r="H96" s="2" t="s">
        <v>42</v>
      </c>
      <c r="I96" t="s">
        <v>32</v>
      </c>
      <c r="J96" s="2" t="s">
        <v>41</v>
      </c>
      <c r="K96" t="s">
        <v>34</v>
      </c>
      <c r="L96" s="2" t="s">
        <v>39</v>
      </c>
      <c r="M96" t="s">
        <v>32</v>
      </c>
      <c r="N96" s="2" t="s">
        <v>35</v>
      </c>
      <c r="O96" s="109" t="s">
        <v>38</v>
      </c>
      <c r="R96" s="102" t="s">
        <v>132</v>
      </c>
    </row>
    <row r="97" spans="1:207" ht="42.75" x14ac:dyDescent="0.45">
      <c r="A97" t="s">
        <v>16</v>
      </c>
      <c r="B97" t="s">
        <v>69</v>
      </c>
      <c r="C97" s="2" t="s">
        <v>43</v>
      </c>
      <c r="D97" t="s">
        <v>32</v>
      </c>
      <c r="E97" s="30">
        <v>0.20117290590649708</v>
      </c>
      <c r="F97" s="23">
        <v>0.19383161308940569</v>
      </c>
      <c r="G97" s="23">
        <v>0.20906746394809331</v>
      </c>
      <c r="H97" s="2" t="s">
        <v>42</v>
      </c>
      <c r="I97" t="s">
        <v>34</v>
      </c>
      <c r="J97" s="2" t="s">
        <v>41</v>
      </c>
      <c r="K97" t="s">
        <v>34</v>
      </c>
      <c r="L97" s="2" t="s">
        <v>39</v>
      </c>
      <c r="M97" t="s">
        <v>32</v>
      </c>
      <c r="N97" s="2" t="s">
        <v>35</v>
      </c>
      <c r="O97" s="109" t="s">
        <v>38</v>
      </c>
      <c r="R97" s="102" t="s">
        <v>132</v>
      </c>
    </row>
    <row r="98" spans="1:207" x14ac:dyDescent="0.45">
      <c r="A98" t="s">
        <v>16</v>
      </c>
      <c r="B98" t="s">
        <v>69</v>
      </c>
      <c r="C98" s="2" t="s">
        <v>43</v>
      </c>
      <c r="D98" t="s">
        <v>32</v>
      </c>
      <c r="E98" s="18">
        <v>0</v>
      </c>
      <c r="F98" s="18">
        <v>0</v>
      </c>
      <c r="G98" s="18">
        <v>0</v>
      </c>
      <c r="H98" s="2" t="s">
        <v>42</v>
      </c>
      <c r="I98" t="s">
        <v>32</v>
      </c>
      <c r="J98" s="2" t="s">
        <v>41</v>
      </c>
      <c r="K98" t="s">
        <v>32</v>
      </c>
      <c r="L98" s="2" t="s">
        <v>39</v>
      </c>
      <c r="M98" t="s">
        <v>34</v>
      </c>
      <c r="N98" s="2" t="s">
        <v>35</v>
      </c>
      <c r="O98" s="109" t="s">
        <v>38</v>
      </c>
      <c r="R98" s="102" t="s">
        <v>170</v>
      </c>
    </row>
    <row r="99" spans="1:207" x14ac:dyDescent="0.45">
      <c r="A99" t="s">
        <v>16</v>
      </c>
      <c r="B99" t="s">
        <v>69</v>
      </c>
      <c r="C99" s="2" t="s">
        <v>43</v>
      </c>
      <c r="D99" t="s">
        <v>32</v>
      </c>
      <c r="E99" s="18">
        <v>0</v>
      </c>
      <c r="F99" s="18">
        <v>0</v>
      </c>
      <c r="G99" s="18">
        <v>0</v>
      </c>
      <c r="H99" s="2" t="s">
        <v>42</v>
      </c>
      <c r="I99" t="s">
        <v>34</v>
      </c>
      <c r="J99" s="2" t="s">
        <v>41</v>
      </c>
      <c r="K99" t="s">
        <v>32</v>
      </c>
      <c r="L99" s="2" t="s">
        <v>39</v>
      </c>
      <c r="M99" t="s">
        <v>34</v>
      </c>
      <c r="N99" s="2" t="s">
        <v>35</v>
      </c>
      <c r="O99" s="109" t="s">
        <v>38</v>
      </c>
      <c r="R99" s="102" t="s">
        <v>170</v>
      </c>
    </row>
    <row r="100" spans="1:207" x14ac:dyDescent="0.45">
      <c r="A100" t="s">
        <v>16</v>
      </c>
      <c r="B100" t="s">
        <v>69</v>
      </c>
      <c r="C100" s="2" t="s">
        <v>43</v>
      </c>
      <c r="D100" t="s">
        <v>32</v>
      </c>
      <c r="E100" s="18">
        <v>0</v>
      </c>
      <c r="F100" s="18">
        <v>0</v>
      </c>
      <c r="G100" s="18">
        <v>0</v>
      </c>
      <c r="H100" s="2" t="s">
        <v>42</v>
      </c>
      <c r="I100" t="s">
        <v>32</v>
      </c>
      <c r="J100" s="2" t="s">
        <v>41</v>
      </c>
      <c r="K100" t="s">
        <v>34</v>
      </c>
      <c r="L100" s="2" t="s">
        <v>39</v>
      </c>
      <c r="M100" t="s">
        <v>34</v>
      </c>
      <c r="N100" s="2" t="s">
        <v>35</v>
      </c>
      <c r="O100" s="109" t="s">
        <v>38</v>
      </c>
      <c r="R100" s="102" t="s">
        <v>170</v>
      </c>
    </row>
    <row r="101" spans="1:207" x14ac:dyDescent="0.45">
      <c r="A101" t="s">
        <v>16</v>
      </c>
      <c r="B101" t="s">
        <v>69</v>
      </c>
      <c r="C101" s="2" t="s">
        <v>43</v>
      </c>
      <c r="D101" t="s">
        <v>32</v>
      </c>
      <c r="E101" s="18">
        <v>0</v>
      </c>
      <c r="F101" s="18">
        <v>0</v>
      </c>
      <c r="G101" s="18">
        <v>0</v>
      </c>
      <c r="H101" s="2" t="s">
        <v>42</v>
      </c>
      <c r="I101" t="s">
        <v>34</v>
      </c>
      <c r="J101" s="2" t="s">
        <v>41</v>
      </c>
      <c r="K101" t="s">
        <v>34</v>
      </c>
      <c r="L101" s="2" t="s">
        <v>39</v>
      </c>
      <c r="M101" t="s">
        <v>34</v>
      </c>
      <c r="N101" s="2" t="s">
        <v>35</v>
      </c>
      <c r="O101" s="109" t="s">
        <v>38</v>
      </c>
      <c r="R101" s="102" t="s">
        <v>170</v>
      </c>
    </row>
    <row r="102" spans="1:207" s="31" customFormat="1" x14ac:dyDescent="0.45">
      <c r="A102" s="31" t="s">
        <v>44</v>
      </c>
      <c r="B102" s="31" t="s">
        <v>70</v>
      </c>
      <c r="C102" s="32" t="s">
        <v>20</v>
      </c>
      <c r="D102" s="31" t="s">
        <v>18</v>
      </c>
      <c r="E102" s="47">
        <v>0.91758969999999995</v>
      </c>
      <c r="F102" s="47">
        <v>0.88462558000000002</v>
      </c>
      <c r="G102" s="47">
        <v>0.95055381999999999</v>
      </c>
      <c r="H102" s="32"/>
      <c r="J102" s="32"/>
      <c r="L102" s="32"/>
      <c r="N102" s="32"/>
      <c r="O102" s="110"/>
      <c r="P102" s="108"/>
      <c r="Q102" s="34"/>
      <c r="R102" s="98"/>
      <c r="X102" s="95"/>
      <c r="Y102" s="95"/>
      <c r="Z102" s="95"/>
      <c r="AA102" s="95"/>
      <c r="AB102" s="95"/>
      <c r="AC102" s="95"/>
      <c r="AD102" s="95"/>
      <c r="AE102" s="95"/>
      <c r="AF102" s="95"/>
      <c r="AG102" s="95"/>
      <c r="AH102" s="95"/>
      <c r="AI102" s="95"/>
      <c r="AJ102" s="95"/>
      <c r="AK102" s="95"/>
      <c r="AL102" s="95"/>
      <c r="AM102" s="95"/>
      <c r="AN102" s="95"/>
      <c r="AO102" s="95"/>
      <c r="AP102" s="95"/>
      <c r="AQ102" s="95"/>
      <c r="AR102" s="95"/>
      <c r="AS102" s="95"/>
      <c r="AT102" s="95"/>
      <c r="AU102" s="95"/>
      <c r="AV102" s="95"/>
      <c r="AW102" s="95"/>
      <c r="AX102" s="95"/>
      <c r="AY102" s="95"/>
      <c r="AZ102" s="95"/>
      <c r="BA102" s="95"/>
      <c r="BB102" s="95"/>
      <c r="BC102" s="95"/>
      <c r="BD102" s="95"/>
      <c r="BE102" s="95"/>
      <c r="BF102" s="95"/>
      <c r="BG102" s="95"/>
      <c r="BH102" s="95"/>
      <c r="BI102" s="95"/>
      <c r="BJ102" s="95"/>
      <c r="BK102" s="95"/>
      <c r="BL102" s="95"/>
      <c r="BM102" s="95"/>
      <c r="BN102" s="95"/>
      <c r="BO102" s="95"/>
      <c r="BP102" s="95"/>
      <c r="BQ102" s="95"/>
      <c r="BR102" s="95"/>
      <c r="BS102" s="95"/>
      <c r="BT102" s="95"/>
      <c r="BU102" s="95"/>
      <c r="BV102" s="95"/>
      <c r="BW102" s="95"/>
      <c r="BX102" s="95"/>
      <c r="BY102" s="95"/>
      <c r="BZ102" s="95"/>
      <c r="CA102" s="95"/>
      <c r="CB102" s="95"/>
      <c r="CC102" s="95"/>
      <c r="CD102" s="95"/>
      <c r="CE102" s="95"/>
      <c r="CF102" s="95"/>
      <c r="CG102" s="95"/>
      <c r="CH102" s="95"/>
      <c r="CI102" s="95"/>
      <c r="CJ102" s="95"/>
      <c r="CK102" s="95"/>
      <c r="CL102" s="95"/>
      <c r="CM102" s="95"/>
      <c r="CN102" s="95"/>
      <c r="CO102" s="95"/>
      <c r="CP102" s="95"/>
      <c r="CQ102" s="95"/>
      <c r="CR102" s="95"/>
      <c r="CS102" s="95"/>
      <c r="CT102" s="95"/>
      <c r="CU102" s="95"/>
      <c r="CV102" s="95"/>
      <c r="CW102" s="95"/>
      <c r="CX102" s="95"/>
      <c r="CY102" s="95"/>
      <c r="CZ102" s="95"/>
      <c r="DA102" s="95"/>
      <c r="DB102" s="95"/>
      <c r="DC102" s="95"/>
      <c r="DD102" s="95"/>
      <c r="DE102" s="95"/>
      <c r="DF102" s="95"/>
      <c r="DG102" s="95"/>
      <c r="DH102" s="95"/>
      <c r="DI102" s="95"/>
      <c r="DJ102" s="95"/>
      <c r="DK102" s="95"/>
      <c r="DL102" s="95"/>
      <c r="DM102" s="95"/>
      <c r="DN102" s="95"/>
      <c r="DO102" s="95"/>
      <c r="DP102" s="95"/>
      <c r="DQ102" s="95"/>
      <c r="DR102" s="95"/>
      <c r="DS102" s="95"/>
      <c r="DT102" s="95"/>
      <c r="DU102" s="95"/>
      <c r="DV102" s="95"/>
      <c r="DW102" s="95"/>
      <c r="DX102" s="95"/>
      <c r="DY102" s="95"/>
      <c r="DZ102" s="95"/>
      <c r="EA102" s="95"/>
      <c r="EB102" s="95"/>
      <c r="EC102" s="95"/>
      <c r="ED102" s="95"/>
      <c r="EE102" s="95"/>
      <c r="EF102" s="95"/>
      <c r="EG102" s="95"/>
      <c r="EH102" s="95"/>
      <c r="EI102" s="95"/>
      <c r="EJ102" s="95"/>
      <c r="EK102" s="95"/>
      <c r="EL102" s="95"/>
      <c r="EM102" s="95"/>
      <c r="EN102" s="95"/>
      <c r="EO102" s="95"/>
      <c r="EP102" s="95"/>
      <c r="EQ102" s="95"/>
      <c r="ER102" s="95"/>
      <c r="ES102" s="95"/>
      <c r="ET102" s="95"/>
      <c r="EU102" s="95"/>
      <c r="EV102" s="95"/>
      <c r="EW102" s="95"/>
      <c r="EX102" s="95"/>
      <c r="EY102" s="95"/>
      <c r="EZ102" s="95"/>
      <c r="FA102" s="95"/>
      <c r="FB102" s="95"/>
      <c r="FC102" s="95"/>
      <c r="FD102" s="95"/>
      <c r="FE102" s="95"/>
      <c r="FF102" s="95"/>
      <c r="FG102" s="95"/>
      <c r="FH102" s="95"/>
      <c r="FI102" s="95"/>
      <c r="FJ102" s="95"/>
      <c r="FK102" s="95"/>
      <c r="FL102" s="95"/>
      <c r="FM102" s="95"/>
      <c r="FN102" s="95"/>
      <c r="FO102" s="95"/>
      <c r="FP102" s="95"/>
      <c r="FQ102" s="95"/>
      <c r="FR102" s="95"/>
      <c r="FS102" s="95"/>
      <c r="FT102" s="95"/>
      <c r="FU102" s="95"/>
      <c r="FV102" s="95"/>
      <c r="FW102" s="95"/>
      <c r="FX102" s="95"/>
      <c r="FY102" s="95"/>
      <c r="FZ102" s="95"/>
      <c r="GA102" s="95"/>
      <c r="GB102" s="95"/>
      <c r="GC102" s="95"/>
      <c r="GD102" s="95"/>
      <c r="GE102" s="95"/>
      <c r="GF102" s="95"/>
      <c r="GG102" s="95"/>
      <c r="GH102" s="95"/>
      <c r="GI102" s="95"/>
      <c r="GJ102" s="95"/>
      <c r="GK102" s="95"/>
      <c r="GL102" s="95"/>
      <c r="GM102" s="95"/>
      <c r="GN102" s="95"/>
      <c r="GO102" s="95"/>
      <c r="GP102" s="95"/>
      <c r="GQ102" s="95"/>
      <c r="GR102" s="95"/>
      <c r="GS102" s="95"/>
      <c r="GT102" s="95"/>
      <c r="GU102" s="95"/>
      <c r="GV102" s="95"/>
      <c r="GW102" s="95"/>
      <c r="GX102" s="95"/>
      <c r="GY102" s="95"/>
    </row>
    <row r="103" spans="1:207" s="31" customFormat="1" ht="28.5" x14ac:dyDescent="0.45">
      <c r="A103" s="31" t="s">
        <v>44</v>
      </c>
      <c r="B103" s="31" t="s">
        <v>70</v>
      </c>
      <c r="C103" s="32" t="s">
        <v>20</v>
      </c>
      <c r="D103" s="31" t="s">
        <v>21</v>
      </c>
      <c r="E103" s="48">
        <v>8.2410300000000006E-2</v>
      </c>
      <c r="F103" s="48">
        <v>4.9446180000000006E-2</v>
      </c>
      <c r="G103" s="48">
        <v>0.11537441999999999</v>
      </c>
      <c r="H103" s="32"/>
      <c r="J103" s="32"/>
      <c r="L103" s="32"/>
      <c r="N103" s="32"/>
      <c r="O103" s="110"/>
      <c r="P103" s="108"/>
      <c r="Q103" s="34"/>
      <c r="R103" s="89" t="s">
        <v>232</v>
      </c>
      <c r="X103" s="95"/>
      <c r="Y103" s="95"/>
      <c r="Z103" s="95"/>
      <c r="AA103" s="95"/>
      <c r="AB103" s="95"/>
      <c r="AC103" s="95"/>
      <c r="AD103" s="95"/>
      <c r="AE103" s="95"/>
      <c r="AF103" s="95"/>
      <c r="AG103" s="95"/>
      <c r="AH103" s="95"/>
      <c r="AI103" s="95"/>
      <c r="AJ103" s="95"/>
      <c r="AK103" s="95"/>
      <c r="AL103" s="95"/>
      <c r="AM103" s="95"/>
      <c r="AN103" s="95"/>
      <c r="AO103" s="95"/>
      <c r="AP103" s="95"/>
      <c r="AQ103" s="95"/>
      <c r="AR103" s="95"/>
      <c r="AS103" s="95"/>
      <c r="AT103" s="95"/>
      <c r="AU103" s="95"/>
      <c r="AV103" s="95"/>
      <c r="AW103" s="95"/>
      <c r="AX103" s="95"/>
      <c r="AY103" s="95"/>
      <c r="AZ103" s="95"/>
      <c r="BA103" s="95"/>
      <c r="BB103" s="95"/>
      <c r="BC103" s="95"/>
      <c r="BD103" s="95"/>
      <c r="BE103" s="95"/>
      <c r="BF103" s="95"/>
      <c r="BG103" s="95"/>
      <c r="BH103" s="95"/>
      <c r="BI103" s="95"/>
      <c r="BJ103" s="95"/>
      <c r="BK103" s="95"/>
      <c r="BL103" s="95"/>
      <c r="BM103" s="95"/>
      <c r="BN103" s="95"/>
      <c r="BO103" s="95"/>
      <c r="BP103" s="95"/>
      <c r="BQ103" s="95"/>
      <c r="BR103" s="95"/>
      <c r="BS103" s="95"/>
      <c r="BT103" s="95"/>
      <c r="BU103" s="95"/>
      <c r="BV103" s="95"/>
      <c r="BW103" s="95"/>
      <c r="BX103" s="95"/>
      <c r="BY103" s="95"/>
      <c r="BZ103" s="95"/>
      <c r="CA103" s="95"/>
      <c r="CB103" s="95"/>
      <c r="CC103" s="95"/>
      <c r="CD103" s="95"/>
      <c r="CE103" s="95"/>
      <c r="CF103" s="95"/>
      <c r="CG103" s="95"/>
      <c r="CH103" s="95"/>
      <c r="CI103" s="95"/>
      <c r="CJ103" s="95"/>
      <c r="CK103" s="95"/>
      <c r="CL103" s="95"/>
      <c r="CM103" s="95"/>
      <c r="CN103" s="95"/>
      <c r="CO103" s="95"/>
      <c r="CP103" s="95"/>
      <c r="CQ103" s="95"/>
      <c r="CR103" s="95"/>
      <c r="CS103" s="95"/>
      <c r="CT103" s="95"/>
      <c r="CU103" s="95"/>
      <c r="CV103" s="95"/>
      <c r="CW103" s="95"/>
      <c r="CX103" s="95"/>
      <c r="CY103" s="95"/>
      <c r="CZ103" s="95"/>
      <c r="DA103" s="95"/>
      <c r="DB103" s="95"/>
      <c r="DC103" s="95"/>
      <c r="DD103" s="95"/>
      <c r="DE103" s="95"/>
      <c r="DF103" s="95"/>
      <c r="DG103" s="95"/>
      <c r="DH103" s="95"/>
      <c r="DI103" s="95"/>
      <c r="DJ103" s="95"/>
      <c r="DK103" s="95"/>
      <c r="DL103" s="95"/>
      <c r="DM103" s="95"/>
      <c r="DN103" s="95"/>
      <c r="DO103" s="95"/>
      <c r="DP103" s="95"/>
      <c r="DQ103" s="95"/>
      <c r="DR103" s="95"/>
      <c r="DS103" s="95"/>
      <c r="DT103" s="95"/>
      <c r="DU103" s="95"/>
      <c r="DV103" s="95"/>
      <c r="DW103" s="95"/>
      <c r="DX103" s="95"/>
      <c r="DY103" s="95"/>
      <c r="DZ103" s="95"/>
      <c r="EA103" s="95"/>
      <c r="EB103" s="95"/>
      <c r="EC103" s="95"/>
      <c r="ED103" s="95"/>
      <c r="EE103" s="95"/>
      <c r="EF103" s="95"/>
      <c r="EG103" s="95"/>
      <c r="EH103" s="95"/>
      <c r="EI103" s="95"/>
      <c r="EJ103" s="95"/>
      <c r="EK103" s="95"/>
      <c r="EL103" s="95"/>
      <c r="EM103" s="95"/>
      <c r="EN103" s="95"/>
      <c r="EO103" s="95"/>
      <c r="EP103" s="95"/>
      <c r="EQ103" s="95"/>
      <c r="ER103" s="95"/>
      <c r="ES103" s="95"/>
      <c r="ET103" s="95"/>
      <c r="EU103" s="95"/>
      <c r="EV103" s="95"/>
      <c r="EW103" s="95"/>
      <c r="EX103" s="95"/>
      <c r="EY103" s="95"/>
      <c r="EZ103" s="95"/>
      <c r="FA103" s="95"/>
      <c r="FB103" s="95"/>
      <c r="FC103" s="95"/>
      <c r="FD103" s="95"/>
      <c r="FE103" s="95"/>
      <c r="FF103" s="95"/>
      <c r="FG103" s="95"/>
      <c r="FH103" s="95"/>
      <c r="FI103" s="95"/>
      <c r="FJ103" s="95"/>
      <c r="FK103" s="95"/>
      <c r="FL103" s="95"/>
      <c r="FM103" s="95"/>
      <c r="FN103" s="95"/>
      <c r="FO103" s="95"/>
      <c r="FP103" s="95"/>
      <c r="FQ103" s="95"/>
      <c r="FR103" s="95"/>
      <c r="FS103" s="95"/>
      <c r="FT103" s="95"/>
      <c r="FU103" s="95"/>
      <c r="FV103" s="95"/>
      <c r="FW103" s="95"/>
      <c r="FX103" s="95"/>
      <c r="FY103" s="95"/>
      <c r="FZ103" s="95"/>
      <c r="GA103" s="95"/>
      <c r="GB103" s="95"/>
      <c r="GC103" s="95"/>
      <c r="GD103" s="95"/>
      <c r="GE103" s="95"/>
      <c r="GF103" s="95"/>
      <c r="GG103" s="95"/>
      <c r="GH103" s="95"/>
      <c r="GI103" s="95"/>
      <c r="GJ103" s="95"/>
      <c r="GK103" s="95"/>
      <c r="GL103" s="95"/>
      <c r="GM103" s="95"/>
      <c r="GN103" s="95"/>
      <c r="GO103" s="95"/>
      <c r="GP103" s="95"/>
      <c r="GQ103" s="95"/>
      <c r="GR103" s="95"/>
      <c r="GS103" s="95"/>
      <c r="GT103" s="95"/>
      <c r="GU103" s="95"/>
      <c r="GV103" s="95"/>
      <c r="GW103" s="95"/>
      <c r="GX103" s="95"/>
      <c r="GY103" s="95"/>
    </row>
    <row r="104" spans="1:207" x14ac:dyDescent="0.45">
      <c r="A104" t="s">
        <v>44</v>
      </c>
      <c r="B104" t="s">
        <v>70</v>
      </c>
      <c r="C104" s="2" t="s">
        <v>24</v>
      </c>
      <c r="D104" t="s">
        <v>18</v>
      </c>
      <c r="E104" s="18">
        <v>1</v>
      </c>
      <c r="F104" s="18">
        <v>1</v>
      </c>
      <c r="G104" s="18">
        <v>1</v>
      </c>
      <c r="H104" s="2"/>
      <c r="J104" s="2"/>
      <c r="L104" s="2"/>
      <c r="N104" s="2"/>
      <c r="O104" s="109"/>
      <c r="P104" s="107"/>
      <c r="Q104" s="4"/>
      <c r="R104" s="102" t="s">
        <v>97</v>
      </c>
    </row>
    <row r="105" spans="1:207" x14ac:dyDescent="0.45">
      <c r="A105" t="s">
        <v>44</v>
      </c>
      <c r="B105" t="s">
        <v>70</v>
      </c>
      <c r="C105" s="2" t="s">
        <v>24</v>
      </c>
      <c r="D105" t="s">
        <v>25</v>
      </c>
      <c r="E105" s="18">
        <v>0</v>
      </c>
      <c r="F105" s="18">
        <v>0</v>
      </c>
      <c r="G105" s="18">
        <v>0</v>
      </c>
      <c r="H105" s="2"/>
      <c r="J105" s="2"/>
      <c r="L105" s="2"/>
      <c r="N105" s="2"/>
      <c r="O105" s="109"/>
      <c r="P105" s="107"/>
      <c r="Q105" s="4"/>
      <c r="R105" s="97"/>
    </row>
    <row r="106" spans="1:207" x14ac:dyDescent="0.45">
      <c r="A106" t="s">
        <v>44</v>
      </c>
      <c r="B106" t="s">
        <v>70</v>
      </c>
      <c r="C106" s="2" t="s">
        <v>26</v>
      </c>
      <c r="D106" t="s">
        <v>18</v>
      </c>
      <c r="E106" s="18">
        <v>1</v>
      </c>
      <c r="F106" s="18">
        <v>1</v>
      </c>
      <c r="G106" s="18">
        <v>1</v>
      </c>
      <c r="H106" s="2"/>
      <c r="J106" s="2"/>
      <c r="L106" s="2"/>
      <c r="N106" s="2"/>
      <c r="O106" s="109"/>
      <c r="P106" s="107"/>
      <c r="Q106" s="4"/>
      <c r="R106" s="97" t="s">
        <v>86</v>
      </c>
    </row>
    <row r="107" spans="1:207" x14ac:dyDescent="0.45">
      <c r="A107" t="s">
        <v>44</v>
      </c>
      <c r="B107" t="s">
        <v>70</v>
      </c>
      <c r="C107" s="2" t="s">
        <v>26</v>
      </c>
      <c r="D107" t="s">
        <v>27</v>
      </c>
      <c r="E107" s="18">
        <v>0</v>
      </c>
      <c r="F107" s="18">
        <v>0</v>
      </c>
      <c r="G107" s="18">
        <v>0</v>
      </c>
      <c r="H107" s="2"/>
      <c r="J107" s="2"/>
      <c r="L107" s="2"/>
      <c r="N107" s="2"/>
      <c r="O107" s="109"/>
      <c r="P107" s="107"/>
      <c r="Q107" s="4"/>
      <c r="R107" s="97"/>
    </row>
    <row r="108" spans="1:207" x14ac:dyDescent="0.45">
      <c r="A108" t="s">
        <v>44</v>
      </c>
      <c r="B108" t="s">
        <v>70</v>
      </c>
      <c r="C108" s="2" t="s">
        <v>26</v>
      </c>
      <c r="D108" t="s">
        <v>28</v>
      </c>
      <c r="E108" s="18">
        <v>0</v>
      </c>
      <c r="F108" s="18">
        <v>0</v>
      </c>
      <c r="G108" s="18">
        <v>0</v>
      </c>
      <c r="H108" s="2"/>
      <c r="J108" s="2"/>
      <c r="L108" s="2"/>
      <c r="N108" s="2"/>
      <c r="O108" s="109"/>
      <c r="P108" s="107"/>
      <c r="Q108" s="4"/>
      <c r="R108" s="97"/>
    </row>
    <row r="109" spans="1:207" x14ac:dyDescent="0.45">
      <c r="A109" t="s">
        <v>44</v>
      </c>
      <c r="B109" t="s">
        <v>70</v>
      </c>
      <c r="C109" s="2" t="s">
        <v>29</v>
      </c>
      <c r="D109" t="s">
        <v>18</v>
      </c>
      <c r="E109" s="18">
        <v>1</v>
      </c>
      <c r="F109" s="18">
        <v>1</v>
      </c>
      <c r="G109" s="18">
        <v>1</v>
      </c>
      <c r="H109" s="2"/>
      <c r="J109" s="2"/>
      <c r="L109" s="2"/>
      <c r="N109" s="2"/>
      <c r="O109" s="109"/>
      <c r="P109" s="107"/>
      <c r="Q109" s="4"/>
      <c r="R109" s="97" t="s">
        <v>86</v>
      </c>
    </row>
    <row r="110" spans="1:207" x14ac:dyDescent="0.45">
      <c r="A110" t="s">
        <v>44</v>
      </c>
      <c r="B110" t="s">
        <v>70</v>
      </c>
      <c r="C110" s="2" t="s">
        <v>29</v>
      </c>
      <c r="D110" t="s">
        <v>30</v>
      </c>
      <c r="E110" s="18">
        <v>0</v>
      </c>
      <c r="F110" s="18">
        <v>0</v>
      </c>
      <c r="G110" s="18">
        <v>0</v>
      </c>
      <c r="H110" s="2"/>
      <c r="J110" s="2"/>
      <c r="L110" s="2"/>
      <c r="N110" s="2"/>
      <c r="O110" s="109"/>
      <c r="P110" s="107"/>
      <c r="Q110" s="4"/>
      <c r="R110" s="97"/>
    </row>
    <row r="111" spans="1:207" ht="13.5" customHeight="1" x14ac:dyDescent="0.45">
      <c r="A111" t="s">
        <v>44</v>
      </c>
      <c r="B111" t="s">
        <v>70</v>
      </c>
      <c r="C111" s="2" t="s">
        <v>31</v>
      </c>
      <c r="D111" t="s">
        <v>32</v>
      </c>
      <c r="E111" s="18">
        <v>0</v>
      </c>
      <c r="F111" s="18">
        <v>0</v>
      </c>
      <c r="G111" s="18">
        <v>0</v>
      </c>
      <c r="H111" s="2" t="s">
        <v>20</v>
      </c>
      <c r="I111" t="s">
        <v>18</v>
      </c>
      <c r="J111" s="2"/>
      <c r="L111" s="2"/>
      <c r="N111" s="2"/>
      <c r="O111" s="109"/>
      <c r="P111" s="107"/>
      <c r="Q111" s="4"/>
      <c r="R111" s="97" t="s">
        <v>149</v>
      </c>
    </row>
    <row r="112" spans="1:207" s="31" customFormat="1" ht="28.5" x14ac:dyDescent="0.45">
      <c r="A112" s="31" t="s">
        <v>44</v>
      </c>
      <c r="B112" s="31" t="s">
        <v>70</v>
      </c>
      <c r="C112" s="32" t="s">
        <v>31</v>
      </c>
      <c r="D112" s="31" t="s">
        <v>32</v>
      </c>
      <c r="E112" s="33">
        <v>0.504</v>
      </c>
      <c r="F112" s="33">
        <v>0.30399999999999999</v>
      </c>
      <c r="G112" s="33">
        <v>0.70399999999999996</v>
      </c>
      <c r="H112" s="32" t="s">
        <v>20</v>
      </c>
      <c r="I112" s="31" t="s">
        <v>21</v>
      </c>
      <c r="J112" s="32"/>
      <c r="L112" s="32"/>
      <c r="N112" s="32"/>
      <c r="O112" s="110"/>
      <c r="P112" s="108"/>
      <c r="Q112" s="34"/>
      <c r="R112" s="98" t="s">
        <v>209</v>
      </c>
      <c r="X112" s="95"/>
      <c r="Y112" s="95"/>
      <c r="Z112" s="95"/>
      <c r="AA112" s="95"/>
      <c r="AB112" s="95"/>
      <c r="AC112" s="95"/>
      <c r="AD112" s="95"/>
      <c r="AE112" s="95"/>
      <c r="AF112" s="95"/>
      <c r="AG112" s="95"/>
      <c r="AH112" s="95"/>
      <c r="AI112" s="95"/>
      <c r="AJ112" s="95"/>
      <c r="AK112" s="95"/>
      <c r="AL112" s="95"/>
      <c r="AM112" s="95"/>
      <c r="AN112" s="95"/>
      <c r="AO112" s="95"/>
      <c r="AP112" s="95"/>
      <c r="AQ112" s="95"/>
      <c r="AR112" s="95"/>
      <c r="AS112" s="95"/>
      <c r="AT112" s="95"/>
      <c r="AU112" s="95"/>
      <c r="AV112" s="95"/>
      <c r="AW112" s="95"/>
      <c r="AX112" s="95"/>
      <c r="AY112" s="95"/>
      <c r="AZ112" s="95"/>
      <c r="BA112" s="95"/>
      <c r="BB112" s="95"/>
      <c r="BC112" s="95"/>
      <c r="BD112" s="95"/>
      <c r="BE112" s="95"/>
      <c r="BF112" s="95"/>
      <c r="BG112" s="95"/>
      <c r="BH112" s="95"/>
      <c r="BI112" s="95"/>
      <c r="BJ112" s="95"/>
      <c r="BK112" s="95"/>
      <c r="BL112" s="95"/>
      <c r="BM112" s="95"/>
      <c r="BN112" s="95"/>
      <c r="BO112" s="95"/>
      <c r="BP112" s="95"/>
      <c r="BQ112" s="95"/>
      <c r="BR112" s="95"/>
      <c r="BS112" s="95"/>
      <c r="BT112" s="95"/>
      <c r="BU112" s="95"/>
      <c r="BV112" s="95"/>
      <c r="BW112" s="95"/>
      <c r="BX112" s="95"/>
      <c r="BY112" s="95"/>
      <c r="BZ112" s="95"/>
      <c r="CA112" s="95"/>
      <c r="CB112" s="95"/>
      <c r="CC112" s="95"/>
      <c r="CD112" s="95"/>
      <c r="CE112" s="95"/>
      <c r="CF112" s="95"/>
      <c r="CG112" s="95"/>
      <c r="CH112" s="95"/>
      <c r="CI112" s="95"/>
      <c r="CJ112" s="95"/>
      <c r="CK112" s="95"/>
      <c r="CL112" s="95"/>
      <c r="CM112" s="95"/>
      <c r="CN112" s="95"/>
      <c r="CO112" s="95"/>
      <c r="CP112" s="95"/>
      <c r="CQ112" s="95"/>
      <c r="CR112" s="95"/>
      <c r="CS112" s="95"/>
      <c r="CT112" s="95"/>
      <c r="CU112" s="95"/>
      <c r="CV112" s="95"/>
      <c r="CW112" s="95"/>
      <c r="CX112" s="95"/>
      <c r="CY112" s="95"/>
      <c r="CZ112" s="95"/>
      <c r="DA112" s="95"/>
      <c r="DB112" s="95"/>
      <c r="DC112" s="95"/>
      <c r="DD112" s="95"/>
      <c r="DE112" s="95"/>
      <c r="DF112" s="95"/>
      <c r="DG112" s="95"/>
      <c r="DH112" s="95"/>
      <c r="DI112" s="95"/>
      <c r="DJ112" s="95"/>
      <c r="DK112" s="95"/>
      <c r="DL112" s="95"/>
      <c r="DM112" s="95"/>
      <c r="DN112" s="95"/>
      <c r="DO112" s="95"/>
      <c r="DP112" s="95"/>
      <c r="DQ112" s="95"/>
      <c r="DR112" s="95"/>
      <c r="DS112" s="95"/>
      <c r="DT112" s="95"/>
      <c r="DU112" s="95"/>
      <c r="DV112" s="95"/>
      <c r="DW112" s="95"/>
      <c r="DX112" s="95"/>
      <c r="DY112" s="95"/>
      <c r="DZ112" s="95"/>
      <c r="EA112" s="95"/>
      <c r="EB112" s="95"/>
      <c r="EC112" s="95"/>
      <c r="ED112" s="95"/>
      <c r="EE112" s="95"/>
      <c r="EF112" s="95"/>
      <c r="EG112" s="95"/>
      <c r="EH112" s="95"/>
      <c r="EI112" s="95"/>
      <c r="EJ112" s="95"/>
      <c r="EK112" s="95"/>
      <c r="EL112" s="95"/>
      <c r="EM112" s="95"/>
      <c r="EN112" s="95"/>
      <c r="EO112" s="95"/>
      <c r="EP112" s="95"/>
      <c r="EQ112" s="95"/>
      <c r="ER112" s="95"/>
      <c r="ES112" s="95"/>
      <c r="ET112" s="95"/>
      <c r="EU112" s="95"/>
      <c r="EV112" s="95"/>
      <c r="EW112" s="95"/>
      <c r="EX112" s="95"/>
      <c r="EY112" s="95"/>
      <c r="EZ112" s="95"/>
      <c r="FA112" s="95"/>
      <c r="FB112" s="95"/>
      <c r="FC112" s="95"/>
      <c r="FD112" s="95"/>
      <c r="FE112" s="95"/>
      <c r="FF112" s="95"/>
      <c r="FG112" s="95"/>
      <c r="FH112" s="95"/>
      <c r="FI112" s="95"/>
      <c r="FJ112" s="95"/>
      <c r="FK112" s="95"/>
      <c r="FL112" s="95"/>
      <c r="FM112" s="95"/>
      <c r="FN112" s="95"/>
      <c r="FO112" s="95"/>
      <c r="FP112" s="95"/>
      <c r="FQ112" s="95"/>
      <c r="FR112" s="95"/>
      <c r="FS112" s="95"/>
      <c r="FT112" s="95"/>
      <c r="FU112" s="95"/>
      <c r="FV112" s="95"/>
      <c r="FW112" s="95"/>
      <c r="FX112" s="95"/>
      <c r="FY112" s="95"/>
      <c r="FZ112" s="95"/>
      <c r="GA112" s="95"/>
      <c r="GB112" s="95"/>
      <c r="GC112" s="95"/>
      <c r="GD112" s="95"/>
      <c r="GE112" s="95"/>
      <c r="GF112" s="95"/>
      <c r="GG112" s="95"/>
      <c r="GH112" s="95"/>
      <c r="GI112" s="95"/>
      <c r="GJ112" s="95"/>
      <c r="GK112" s="95"/>
      <c r="GL112" s="95"/>
      <c r="GM112" s="95"/>
      <c r="GN112" s="95"/>
      <c r="GO112" s="95"/>
      <c r="GP112" s="95"/>
      <c r="GQ112" s="95"/>
      <c r="GR112" s="95"/>
      <c r="GS112" s="95"/>
      <c r="GT112" s="95"/>
      <c r="GU112" s="95"/>
      <c r="GV112" s="95"/>
      <c r="GW112" s="95"/>
      <c r="GX112" s="95"/>
      <c r="GY112" s="95"/>
    </row>
    <row r="113" spans="1:207" x14ac:dyDescent="0.45">
      <c r="A113" t="s">
        <v>44</v>
      </c>
      <c r="B113" t="s">
        <v>70</v>
      </c>
      <c r="C113" s="2" t="s">
        <v>33</v>
      </c>
      <c r="D113" t="s">
        <v>32</v>
      </c>
      <c r="E113" s="18">
        <v>0.52</v>
      </c>
      <c r="F113" s="18">
        <v>0.42000000000000004</v>
      </c>
      <c r="G113" s="18">
        <v>0.62</v>
      </c>
      <c r="H113" s="2" t="s">
        <v>31</v>
      </c>
      <c r="I113" t="s">
        <v>32</v>
      </c>
      <c r="J113" s="2"/>
      <c r="L113" s="2"/>
      <c r="N113" s="2"/>
      <c r="O113" s="109"/>
      <c r="P113" s="107"/>
      <c r="Q113" s="4"/>
      <c r="R113" s="97" t="s">
        <v>150</v>
      </c>
    </row>
    <row r="114" spans="1:207" x14ac:dyDescent="0.45">
      <c r="A114" t="s">
        <v>44</v>
      </c>
      <c r="B114" t="s">
        <v>70</v>
      </c>
      <c r="C114" s="2" t="s">
        <v>33</v>
      </c>
      <c r="D114" t="s">
        <v>32</v>
      </c>
      <c r="E114" s="18">
        <v>0</v>
      </c>
      <c r="F114" s="18">
        <v>0</v>
      </c>
      <c r="G114" s="18">
        <v>0</v>
      </c>
      <c r="H114" s="2" t="s">
        <v>31</v>
      </c>
      <c r="I114" t="s">
        <v>34</v>
      </c>
      <c r="J114" s="2"/>
      <c r="L114" s="2"/>
      <c r="N114" s="2"/>
      <c r="O114" s="109"/>
      <c r="P114" s="107"/>
      <c r="Q114" s="4"/>
      <c r="R114" s="97" t="s">
        <v>151</v>
      </c>
    </row>
    <row r="115" spans="1:207" x14ac:dyDescent="0.45">
      <c r="A115" t="s">
        <v>44</v>
      </c>
      <c r="B115" t="s">
        <v>70</v>
      </c>
      <c r="C115" s="2" t="s">
        <v>35</v>
      </c>
      <c r="D115" t="s">
        <v>36</v>
      </c>
      <c r="E115" s="18">
        <v>0</v>
      </c>
      <c r="F115" s="18">
        <v>0</v>
      </c>
      <c r="G115" s="18">
        <v>0</v>
      </c>
      <c r="H115" s="2" t="s">
        <v>26</v>
      </c>
      <c r="I115" t="s">
        <v>18</v>
      </c>
      <c r="J115" s="2"/>
      <c r="L115" s="2"/>
      <c r="N115" s="2"/>
      <c r="O115" s="109"/>
      <c r="P115" s="107"/>
      <c r="Q115" s="4"/>
      <c r="R115" s="97" t="s">
        <v>86</v>
      </c>
    </row>
    <row r="116" spans="1:207" x14ac:dyDescent="0.45">
      <c r="A116" t="s">
        <v>44</v>
      </c>
      <c r="B116" t="s">
        <v>70</v>
      </c>
      <c r="C116" s="2" t="s">
        <v>35</v>
      </c>
      <c r="D116" t="s">
        <v>37</v>
      </c>
      <c r="E116" s="18">
        <v>0.14000000000000001</v>
      </c>
      <c r="F116" s="18">
        <v>4.0000000000000008E-2</v>
      </c>
      <c r="G116" s="18">
        <v>0.24000000000000002</v>
      </c>
      <c r="H116" s="2" t="s">
        <v>26</v>
      </c>
      <c r="I116" t="s">
        <v>18</v>
      </c>
      <c r="J116" s="2"/>
      <c r="L116" s="2"/>
      <c r="N116" s="2"/>
      <c r="O116" s="109"/>
      <c r="P116" s="107"/>
      <c r="Q116" s="4"/>
      <c r="R116" s="97" t="s">
        <v>152</v>
      </c>
    </row>
    <row r="117" spans="1:207" x14ac:dyDescent="0.45">
      <c r="A117" t="s">
        <v>44</v>
      </c>
      <c r="B117" t="s">
        <v>70</v>
      </c>
      <c r="C117" s="2" t="s">
        <v>35</v>
      </c>
      <c r="D117" t="s">
        <v>38</v>
      </c>
      <c r="E117" s="18">
        <v>0.86</v>
      </c>
      <c r="F117" s="18">
        <v>0.76</v>
      </c>
      <c r="G117" s="18">
        <v>0.96</v>
      </c>
      <c r="H117" s="2" t="s">
        <v>26</v>
      </c>
      <c r="I117" t="s">
        <v>18</v>
      </c>
      <c r="J117" s="2"/>
      <c r="L117" s="2"/>
      <c r="N117" s="2"/>
      <c r="O117" s="109"/>
      <c r="P117" s="107"/>
      <c r="Q117" s="4"/>
      <c r="R117" s="97" t="s">
        <v>152</v>
      </c>
    </row>
    <row r="118" spans="1:207" x14ac:dyDescent="0.45">
      <c r="A118" t="s">
        <v>44</v>
      </c>
      <c r="B118" t="s">
        <v>70</v>
      </c>
      <c r="C118" s="2" t="s">
        <v>35</v>
      </c>
      <c r="D118" t="s">
        <v>36</v>
      </c>
      <c r="E118" s="18">
        <v>0.3125</v>
      </c>
      <c r="F118" s="18">
        <v>0.21249999999999999</v>
      </c>
      <c r="G118" s="18">
        <v>0.41249999999999998</v>
      </c>
      <c r="H118" s="2" t="s">
        <v>26</v>
      </c>
      <c r="I118" t="s">
        <v>27</v>
      </c>
      <c r="J118" s="2"/>
      <c r="L118" s="2"/>
      <c r="N118" s="2"/>
      <c r="O118" s="109"/>
      <c r="P118" s="107"/>
      <c r="Q118" s="4"/>
      <c r="R118" s="99" t="s">
        <v>88</v>
      </c>
    </row>
    <row r="119" spans="1:207" x14ac:dyDescent="0.45">
      <c r="A119" t="s">
        <v>44</v>
      </c>
      <c r="B119" t="s">
        <v>70</v>
      </c>
      <c r="C119" s="2" t="s">
        <v>35</v>
      </c>
      <c r="D119" t="s">
        <v>37</v>
      </c>
      <c r="E119" s="18">
        <v>0.06</v>
      </c>
      <c r="F119" s="18">
        <v>2.8000000000000001E-2</v>
      </c>
      <c r="G119" s="18">
        <v>0.122</v>
      </c>
      <c r="H119" s="2" t="s">
        <v>26</v>
      </c>
      <c r="I119" t="s">
        <v>27</v>
      </c>
      <c r="J119" s="2"/>
      <c r="L119" s="2"/>
      <c r="N119" s="2"/>
      <c r="O119" s="109"/>
      <c r="P119" s="107"/>
      <c r="Q119" s="4"/>
      <c r="R119" s="97" t="s">
        <v>89</v>
      </c>
    </row>
    <row r="120" spans="1:207" x14ac:dyDescent="0.45">
      <c r="A120" t="s">
        <v>44</v>
      </c>
      <c r="B120" t="s">
        <v>70</v>
      </c>
      <c r="C120" s="2" t="s">
        <v>35</v>
      </c>
      <c r="D120" t="s">
        <v>38</v>
      </c>
      <c r="E120" s="18">
        <v>0.62749999999999995</v>
      </c>
      <c r="F120" s="18">
        <v>0.46550000000000002</v>
      </c>
      <c r="G120" s="18">
        <v>0.75949999999999995</v>
      </c>
      <c r="H120" s="2" t="s">
        <v>26</v>
      </c>
      <c r="I120" t="s">
        <v>27</v>
      </c>
      <c r="J120" s="2"/>
      <c r="L120" s="2"/>
      <c r="N120" s="2"/>
      <c r="O120" s="109"/>
      <c r="P120" s="107"/>
      <c r="Q120" s="4"/>
      <c r="R120" s="97" t="s">
        <v>90</v>
      </c>
    </row>
    <row r="121" spans="1:207" x14ac:dyDescent="0.45">
      <c r="A121" t="s">
        <v>44</v>
      </c>
      <c r="B121" t="s">
        <v>70</v>
      </c>
      <c r="C121" s="2" t="s">
        <v>35</v>
      </c>
      <c r="D121" t="s">
        <v>36</v>
      </c>
      <c r="E121" s="18">
        <v>0.3125</v>
      </c>
      <c r="F121" s="18">
        <v>0.21249999999999999</v>
      </c>
      <c r="G121" s="18">
        <v>0.41249999999999998</v>
      </c>
      <c r="H121" s="2" t="s">
        <v>26</v>
      </c>
      <c r="I121" t="s">
        <v>28</v>
      </c>
      <c r="J121" s="2"/>
      <c r="L121" s="2"/>
      <c r="N121" s="2"/>
      <c r="O121" s="109"/>
      <c r="P121" s="107"/>
      <c r="Q121" s="4"/>
      <c r="R121" s="99" t="s">
        <v>153</v>
      </c>
    </row>
    <row r="122" spans="1:207" x14ac:dyDescent="0.45">
      <c r="A122" t="s">
        <v>44</v>
      </c>
      <c r="B122" t="s">
        <v>70</v>
      </c>
      <c r="C122" s="2" t="s">
        <v>35</v>
      </c>
      <c r="D122" t="s">
        <v>37</v>
      </c>
      <c r="E122" s="18">
        <v>0.06</v>
      </c>
      <c r="F122" s="18">
        <v>2.8000000000000001E-2</v>
      </c>
      <c r="G122" s="18">
        <v>0.122</v>
      </c>
      <c r="H122" s="2" t="s">
        <v>26</v>
      </c>
      <c r="I122" t="s">
        <v>28</v>
      </c>
      <c r="J122" s="2"/>
      <c r="L122" s="2"/>
      <c r="N122" s="2"/>
      <c r="O122" s="109"/>
      <c r="P122" s="107"/>
      <c r="Q122" s="4"/>
      <c r="R122" s="97" t="s">
        <v>171</v>
      </c>
    </row>
    <row r="123" spans="1:207" x14ac:dyDescent="0.45">
      <c r="A123" t="s">
        <v>44</v>
      </c>
      <c r="B123" t="s">
        <v>70</v>
      </c>
      <c r="C123" s="2" t="s">
        <v>35</v>
      </c>
      <c r="D123" t="s">
        <v>38</v>
      </c>
      <c r="E123" s="18">
        <v>0.62749999999999995</v>
      </c>
      <c r="F123" s="18">
        <v>0.46550000000000002</v>
      </c>
      <c r="G123" s="18">
        <v>0.75949999999999995</v>
      </c>
      <c r="H123" s="2" t="s">
        <v>26</v>
      </c>
      <c r="I123" t="s">
        <v>28</v>
      </c>
      <c r="J123" s="2"/>
      <c r="L123" s="2"/>
      <c r="N123" s="2"/>
      <c r="O123" s="109"/>
      <c r="P123" s="107"/>
      <c r="Q123" s="4"/>
      <c r="R123" s="97" t="s">
        <v>172</v>
      </c>
    </row>
    <row r="124" spans="1:207" s="31" customFormat="1" ht="28.5" x14ac:dyDescent="0.45">
      <c r="A124" s="31" t="s">
        <v>44</v>
      </c>
      <c r="B124" s="31" t="s">
        <v>70</v>
      </c>
      <c r="C124" s="32" t="s">
        <v>45</v>
      </c>
      <c r="D124" s="31" t="s">
        <v>32</v>
      </c>
      <c r="E124" s="50">
        <v>3.6091288755514428E-2</v>
      </c>
      <c r="F124" s="50">
        <v>2.4008642347539806E-2</v>
      </c>
      <c r="G124" s="50">
        <v>4.8390960320922029E-2</v>
      </c>
      <c r="H124" s="32" t="s">
        <v>33</v>
      </c>
      <c r="I124" s="31" t="s">
        <v>32</v>
      </c>
      <c r="J124" s="32"/>
      <c r="L124" s="32"/>
      <c r="N124" s="32"/>
      <c r="O124" s="110"/>
      <c r="P124" s="108"/>
      <c r="Q124" s="34"/>
      <c r="R124" s="98" t="s">
        <v>208</v>
      </c>
      <c r="X124" s="95"/>
      <c r="Y124" s="95"/>
      <c r="Z124" s="95"/>
      <c r="AA124" s="95"/>
      <c r="AB124" s="95"/>
      <c r="AC124" s="95"/>
      <c r="AD124" s="95"/>
      <c r="AE124" s="95"/>
      <c r="AF124" s="95"/>
      <c r="AG124" s="95"/>
      <c r="AH124" s="95"/>
      <c r="AI124" s="95"/>
      <c r="AJ124" s="95"/>
      <c r="AK124" s="95"/>
      <c r="AL124" s="95"/>
      <c r="AM124" s="95"/>
      <c r="AN124" s="95"/>
      <c r="AO124" s="95"/>
      <c r="AP124" s="95"/>
      <c r="AQ124" s="95"/>
      <c r="AR124" s="95"/>
      <c r="AS124" s="95"/>
      <c r="AT124" s="95"/>
      <c r="AU124" s="95"/>
      <c r="AV124" s="95"/>
      <c r="AW124" s="95"/>
      <c r="AX124" s="95"/>
      <c r="AY124" s="95"/>
      <c r="AZ124" s="95"/>
      <c r="BA124" s="95"/>
      <c r="BB124" s="95"/>
      <c r="BC124" s="95"/>
      <c r="BD124" s="95"/>
      <c r="BE124" s="95"/>
      <c r="BF124" s="95"/>
      <c r="BG124" s="95"/>
      <c r="BH124" s="95"/>
      <c r="BI124" s="95"/>
      <c r="BJ124" s="95"/>
      <c r="BK124" s="95"/>
      <c r="BL124" s="95"/>
      <c r="BM124" s="95"/>
      <c r="BN124" s="95"/>
      <c r="BO124" s="95"/>
      <c r="BP124" s="95"/>
      <c r="BQ124" s="95"/>
      <c r="BR124" s="95"/>
      <c r="BS124" s="95"/>
      <c r="BT124" s="95"/>
      <c r="BU124" s="95"/>
      <c r="BV124" s="95"/>
      <c r="BW124" s="95"/>
      <c r="BX124" s="95"/>
      <c r="BY124" s="95"/>
      <c r="BZ124" s="95"/>
      <c r="CA124" s="95"/>
      <c r="CB124" s="95"/>
      <c r="CC124" s="95"/>
      <c r="CD124" s="95"/>
      <c r="CE124" s="95"/>
      <c r="CF124" s="95"/>
      <c r="CG124" s="95"/>
      <c r="CH124" s="95"/>
      <c r="CI124" s="95"/>
      <c r="CJ124" s="95"/>
      <c r="CK124" s="95"/>
      <c r="CL124" s="95"/>
      <c r="CM124" s="95"/>
      <c r="CN124" s="95"/>
      <c r="CO124" s="95"/>
      <c r="CP124" s="95"/>
      <c r="CQ124" s="95"/>
      <c r="CR124" s="95"/>
      <c r="CS124" s="95"/>
      <c r="CT124" s="95"/>
      <c r="CU124" s="95"/>
      <c r="CV124" s="95"/>
      <c r="CW124" s="95"/>
      <c r="CX124" s="95"/>
      <c r="CY124" s="95"/>
      <c r="CZ124" s="95"/>
      <c r="DA124" s="95"/>
      <c r="DB124" s="95"/>
      <c r="DC124" s="95"/>
      <c r="DD124" s="95"/>
      <c r="DE124" s="95"/>
      <c r="DF124" s="95"/>
      <c r="DG124" s="95"/>
      <c r="DH124" s="95"/>
      <c r="DI124" s="95"/>
      <c r="DJ124" s="95"/>
      <c r="DK124" s="95"/>
      <c r="DL124" s="95"/>
      <c r="DM124" s="95"/>
      <c r="DN124" s="95"/>
      <c r="DO124" s="95"/>
      <c r="DP124" s="95"/>
      <c r="DQ124" s="95"/>
      <c r="DR124" s="95"/>
      <c r="DS124" s="95"/>
      <c r="DT124" s="95"/>
      <c r="DU124" s="95"/>
      <c r="DV124" s="95"/>
      <c r="DW124" s="95"/>
      <c r="DX124" s="95"/>
      <c r="DY124" s="95"/>
      <c r="DZ124" s="95"/>
      <c r="EA124" s="95"/>
      <c r="EB124" s="95"/>
      <c r="EC124" s="95"/>
      <c r="ED124" s="95"/>
      <c r="EE124" s="95"/>
      <c r="EF124" s="95"/>
      <c r="EG124" s="95"/>
      <c r="EH124" s="95"/>
      <c r="EI124" s="95"/>
      <c r="EJ124" s="95"/>
      <c r="EK124" s="95"/>
      <c r="EL124" s="95"/>
      <c r="EM124" s="95"/>
      <c r="EN124" s="95"/>
      <c r="EO124" s="95"/>
      <c r="EP124" s="95"/>
      <c r="EQ124" s="95"/>
      <c r="ER124" s="95"/>
      <c r="ES124" s="95"/>
      <c r="ET124" s="95"/>
      <c r="EU124" s="95"/>
      <c r="EV124" s="95"/>
      <c r="EW124" s="95"/>
      <c r="EX124" s="95"/>
      <c r="EY124" s="95"/>
      <c r="EZ124" s="95"/>
      <c r="FA124" s="95"/>
      <c r="FB124" s="95"/>
      <c r="FC124" s="95"/>
      <c r="FD124" s="95"/>
      <c r="FE124" s="95"/>
      <c r="FF124" s="95"/>
      <c r="FG124" s="95"/>
      <c r="FH124" s="95"/>
      <c r="FI124" s="95"/>
      <c r="FJ124" s="95"/>
      <c r="FK124" s="95"/>
      <c r="FL124" s="95"/>
      <c r="FM124" s="95"/>
      <c r="FN124" s="95"/>
      <c r="FO124" s="95"/>
      <c r="FP124" s="95"/>
      <c r="FQ124" s="95"/>
      <c r="FR124" s="95"/>
      <c r="FS124" s="95"/>
      <c r="FT124" s="95"/>
      <c r="FU124" s="95"/>
      <c r="FV124" s="95"/>
      <c r="FW124" s="95"/>
      <c r="FX124" s="95"/>
      <c r="FY124" s="95"/>
      <c r="FZ124" s="95"/>
      <c r="GA124" s="95"/>
      <c r="GB124" s="95"/>
      <c r="GC124" s="95"/>
      <c r="GD124" s="95"/>
      <c r="GE124" s="95"/>
      <c r="GF124" s="95"/>
      <c r="GG124" s="95"/>
      <c r="GH124" s="95"/>
      <c r="GI124" s="95"/>
      <c r="GJ124" s="95"/>
      <c r="GK124" s="95"/>
      <c r="GL124" s="95"/>
      <c r="GM124" s="95"/>
      <c r="GN124" s="95"/>
      <c r="GO124" s="95"/>
      <c r="GP124" s="95"/>
      <c r="GQ124" s="95"/>
      <c r="GR124" s="95"/>
      <c r="GS124" s="95"/>
      <c r="GT124" s="95"/>
      <c r="GU124" s="95"/>
      <c r="GV124" s="95"/>
      <c r="GW124" s="95"/>
      <c r="GX124" s="95"/>
      <c r="GY124" s="95"/>
    </row>
    <row r="125" spans="1:207" s="31" customFormat="1" ht="28.5" x14ac:dyDescent="0.45">
      <c r="A125" s="31" t="s">
        <v>44</v>
      </c>
      <c r="B125" s="31" t="s">
        <v>70</v>
      </c>
      <c r="C125" s="32" t="s">
        <v>45</v>
      </c>
      <c r="D125" s="31" t="s">
        <v>32</v>
      </c>
      <c r="E125" s="50">
        <v>4.8444682893307958E-2</v>
      </c>
      <c r="F125" s="50">
        <v>4.8017284695079612E-2</v>
      </c>
      <c r="G125" s="50">
        <v>4.8879757899921245E-2</v>
      </c>
      <c r="H125" s="32" t="s">
        <v>33</v>
      </c>
      <c r="I125" s="31" t="s">
        <v>34</v>
      </c>
      <c r="J125" s="32"/>
      <c r="L125" s="32"/>
      <c r="N125" s="32"/>
      <c r="O125" s="110"/>
      <c r="P125" s="108"/>
      <c r="Q125" s="34"/>
      <c r="R125" s="98" t="s">
        <v>208</v>
      </c>
      <c r="X125" s="95"/>
      <c r="Y125" s="95"/>
      <c r="Z125" s="95"/>
      <c r="AA125" s="95"/>
      <c r="AB125" s="95"/>
      <c r="AC125" s="95"/>
      <c r="AD125" s="95"/>
      <c r="AE125" s="95"/>
      <c r="AF125" s="95"/>
      <c r="AG125" s="95"/>
      <c r="AH125" s="95"/>
      <c r="AI125" s="95"/>
      <c r="AJ125" s="95"/>
      <c r="AK125" s="95"/>
      <c r="AL125" s="95"/>
      <c r="AM125" s="95"/>
      <c r="AN125" s="95"/>
      <c r="AO125" s="95"/>
      <c r="AP125" s="95"/>
      <c r="AQ125" s="95"/>
      <c r="AR125" s="95"/>
      <c r="AS125" s="95"/>
      <c r="AT125" s="95"/>
      <c r="AU125" s="95"/>
      <c r="AV125" s="95"/>
      <c r="AW125" s="95"/>
      <c r="AX125" s="95"/>
      <c r="AY125" s="95"/>
      <c r="AZ125" s="95"/>
      <c r="BA125" s="95"/>
      <c r="BB125" s="95"/>
      <c r="BC125" s="95"/>
      <c r="BD125" s="95"/>
      <c r="BE125" s="95"/>
      <c r="BF125" s="95"/>
      <c r="BG125" s="95"/>
      <c r="BH125" s="95"/>
      <c r="BI125" s="95"/>
      <c r="BJ125" s="95"/>
      <c r="BK125" s="95"/>
      <c r="BL125" s="95"/>
      <c r="BM125" s="95"/>
      <c r="BN125" s="95"/>
      <c r="BO125" s="95"/>
      <c r="BP125" s="95"/>
      <c r="BQ125" s="95"/>
      <c r="BR125" s="95"/>
      <c r="BS125" s="95"/>
      <c r="BT125" s="95"/>
      <c r="BU125" s="95"/>
      <c r="BV125" s="95"/>
      <c r="BW125" s="95"/>
      <c r="BX125" s="95"/>
      <c r="BY125" s="95"/>
      <c r="BZ125" s="95"/>
      <c r="CA125" s="95"/>
      <c r="CB125" s="95"/>
      <c r="CC125" s="95"/>
      <c r="CD125" s="95"/>
      <c r="CE125" s="95"/>
      <c r="CF125" s="95"/>
      <c r="CG125" s="95"/>
      <c r="CH125" s="95"/>
      <c r="CI125" s="95"/>
      <c r="CJ125" s="95"/>
      <c r="CK125" s="95"/>
      <c r="CL125" s="95"/>
      <c r="CM125" s="95"/>
      <c r="CN125" s="95"/>
      <c r="CO125" s="95"/>
      <c r="CP125" s="95"/>
      <c r="CQ125" s="95"/>
      <c r="CR125" s="95"/>
      <c r="CS125" s="95"/>
      <c r="CT125" s="95"/>
      <c r="CU125" s="95"/>
      <c r="CV125" s="95"/>
      <c r="CW125" s="95"/>
      <c r="CX125" s="95"/>
      <c r="CY125" s="95"/>
      <c r="CZ125" s="95"/>
      <c r="DA125" s="95"/>
      <c r="DB125" s="95"/>
      <c r="DC125" s="95"/>
      <c r="DD125" s="95"/>
      <c r="DE125" s="95"/>
      <c r="DF125" s="95"/>
      <c r="DG125" s="95"/>
      <c r="DH125" s="95"/>
      <c r="DI125" s="95"/>
      <c r="DJ125" s="95"/>
      <c r="DK125" s="95"/>
      <c r="DL125" s="95"/>
      <c r="DM125" s="95"/>
      <c r="DN125" s="95"/>
      <c r="DO125" s="95"/>
      <c r="DP125" s="95"/>
      <c r="DQ125" s="95"/>
      <c r="DR125" s="95"/>
      <c r="DS125" s="95"/>
      <c r="DT125" s="95"/>
      <c r="DU125" s="95"/>
      <c r="DV125" s="95"/>
      <c r="DW125" s="95"/>
      <c r="DX125" s="95"/>
      <c r="DY125" s="95"/>
      <c r="DZ125" s="95"/>
      <c r="EA125" s="95"/>
      <c r="EB125" s="95"/>
      <c r="EC125" s="95"/>
      <c r="ED125" s="95"/>
      <c r="EE125" s="95"/>
      <c r="EF125" s="95"/>
      <c r="EG125" s="95"/>
      <c r="EH125" s="95"/>
      <c r="EI125" s="95"/>
      <c r="EJ125" s="95"/>
      <c r="EK125" s="95"/>
      <c r="EL125" s="95"/>
      <c r="EM125" s="95"/>
      <c r="EN125" s="95"/>
      <c r="EO125" s="95"/>
      <c r="EP125" s="95"/>
      <c r="EQ125" s="95"/>
      <c r="ER125" s="95"/>
      <c r="ES125" s="95"/>
      <c r="ET125" s="95"/>
      <c r="EU125" s="95"/>
      <c r="EV125" s="95"/>
      <c r="EW125" s="95"/>
      <c r="EX125" s="95"/>
      <c r="EY125" s="95"/>
      <c r="EZ125" s="95"/>
      <c r="FA125" s="95"/>
      <c r="FB125" s="95"/>
      <c r="FC125" s="95"/>
      <c r="FD125" s="95"/>
      <c r="FE125" s="95"/>
      <c r="FF125" s="95"/>
      <c r="FG125" s="95"/>
      <c r="FH125" s="95"/>
      <c r="FI125" s="95"/>
      <c r="FJ125" s="95"/>
      <c r="FK125" s="95"/>
      <c r="FL125" s="95"/>
      <c r="FM125" s="95"/>
      <c r="FN125" s="95"/>
      <c r="FO125" s="95"/>
      <c r="FP125" s="95"/>
      <c r="FQ125" s="95"/>
      <c r="FR125" s="95"/>
      <c r="FS125" s="95"/>
      <c r="FT125" s="95"/>
      <c r="FU125" s="95"/>
      <c r="FV125" s="95"/>
      <c r="FW125" s="95"/>
      <c r="FX125" s="95"/>
      <c r="FY125" s="95"/>
      <c r="FZ125" s="95"/>
      <c r="GA125" s="95"/>
      <c r="GB125" s="95"/>
      <c r="GC125" s="95"/>
      <c r="GD125" s="95"/>
      <c r="GE125" s="95"/>
      <c r="GF125" s="95"/>
      <c r="GG125" s="95"/>
      <c r="GH125" s="95"/>
      <c r="GI125" s="95"/>
      <c r="GJ125" s="95"/>
      <c r="GK125" s="95"/>
      <c r="GL125" s="95"/>
      <c r="GM125" s="95"/>
      <c r="GN125" s="95"/>
      <c r="GO125" s="95"/>
      <c r="GP125" s="95"/>
      <c r="GQ125" s="95"/>
      <c r="GR125" s="95"/>
      <c r="GS125" s="95"/>
      <c r="GT125" s="95"/>
      <c r="GU125" s="95"/>
      <c r="GV125" s="95"/>
      <c r="GW125" s="95"/>
      <c r="GX125" s="95"/>
      <c r="GY125" s="95"/>
    </row>
    <row r="126" spans="1:207" x14ac:dyDescent="0.45">
      <c r="A126" t="s">
        <v>44</v>
      </c>
      <c r="B126" t="s">
        <v>70</v>
      </c>
      <c r="C126" s="2" t="s">
        <v>40</v>
      </c>
      <c r="D126" t="s">
        <v>32</v>
      </c>
      <c r="E126" s="18">
        <v>1</v>
      </c>
      <c r="F126" s="18">
        <v>1</v>
      </c>
      <c r="G126" s="118">
        <v>1</v>
      </c>
      <c r="H126" s="2" t="s">
        <v>35</v>
      </c>
      <c r="I126" t="s">
        <v>36</v>
      </c>
      <c r="J126" s="2" t="s">
        <v>24</v>
      </c>
      <c r="K126" t="s">
        <v>18</v>
      </c>
      <c r="L126" s="2"/>
      <c r="N126" s="2"/>
      <c r="O126" s="109"/>
      <c r="P126" s="107"/>
      <c r="Q126" s="4"/>
      <c r="R126" s="97" t="s">
        <v>156</v>
      </c>
    </row>
    <row r="127" spans="1:207" x14ac:dyDescent="0.45">
      <c r="A127" t="s">
        <v>44</v>
      </c>
      <c r="B127" t="s">
        <v>70</v>
      </c>
      <c r="C127" s="2" t="s">
        <v>40</v>
      </c>
      <c r="D127" t="s">
        <v>32</v>
      </c>
      <c r="E127" s="18">
        <v>0</v>
      </c>
      <c r="F127" s="18">
        <v>0</v>
      </c>
      <c r="G127" s="118">
        <v>0</v>
      </c>
      <c r="H127" s="2" t="s">
        <v>35</v>
      </c>
      <c r="I127" t="s">
        <v>37</v>
      </c>
      <c r="J127" s="2" t="s">
        <v>24</v>
      </c>
      <c r="K127" t="s">
        <v>18</v>
      </c>
      <c r="L127" s="2"/>
      <c r="N127" s="2"/>
      <c r="O127" s="109"/>
      <c r="P127" s="107"/>
      <c r="Q127" s="4"/>
      <c r="R127" s="97" t="s">
        <v>157</v>
      </c>
    </row>
    <row r="128" spans="1:207" x14ac:dyDescent="0.45">
      <c r="A128" t="s">
        <v>44</v>
      </c>
      <c r="B128" t="s">
        <v>70</v>
      </c>
      <c r="C128" s="2" t="s">
        <v>40</v>
      </c>
      <c r="D128" t="s">
        <v>32</v>
      </c>
      <c r="E128" s="18">
        <v>0</v>
      </c>
      <c r="F128" s="18">
        <v>0</v>
      </c>
      <c r="G128" s="118">
        <v>0</v>
      </c>
      <c r="H128" s="2" t="s">
        <v>35</v>
      </c>
      <c r="I128" t="s">
        <v>38</v>
      </c>
      <c r="J128" s="2" t="s">
        <v>24</v>
      </c>
      <c r="K128" t="s">
        <v>18</v>
      </c>
      <c r="L128" s="2"/>
      <c r="N128" s="2"/>
      <c r="O128" s="109"/>
      <c r="P128" s="107"/>
      <c r="Q128" s="4"/>
      <c r="R128" s="97" t="s">
        <v>157</v>
      </c>
    </row>
    <row r="129" spans="1:18" x14ac:dyDescent="0.45">
      <c r="A129" t="s">
        <v>44</v>
      </c>
      <c r="B129" t="s">
        <v>70</v>
      </c>
      <c r="C129" s="2" t="s">
        <v>40</v>
      </c>
      <c r="D129" t="s">
        <v>32</v>
      </c>
      <c r="E129" s="18">
        <v>1</v>
      </c>
      <c r="F129" s="18">
        <v>1</v>
      </c>
      <c r="G129" s="118">
        <v>1</v>
      </c>
      <c r="H129" s="2" t="s">
        <v>35</v>
      </c>
      <c r="I129" t="s">
        <v>36</v>
      </c>
      <c r="J129" s="2" t="s">
        <v>24</v>
      </c>
      <c r="K129" t="s">
        <v>25</v>
      </c>
      <c r="L129" s="2"/>
      <c r="N129" s="2"/>
      <c r="O129" s="109"/>
      <c r="P129" s="107"/>
      <c r="Q129" s="4"/>
      <c r="R129" s="97" t="s">
        <v>156</v>
      </c>
    </row>
    <row r="130" spans="1:18" ht="42.75" x14ac:dyDescent="0.45">
      <c r="A130" t="s">
        <v>44</v>
      </c>
      <c r="B130" t="s">
        <v>70</v>
      </c>
      <c r="C130" s="2" t="s">
        <v>40</v>
      </c>
      <c r="D130" t="s">
        <v>32</v>
      </c>
      <c r="E130" s="18">
        <v>0.61499999999999999</v>
      </c>
      <c r="F130" s="18">
        <v>0.52</v>
      </c>
      <c r="G130" s="118">
        <v>0.71</v>
      </c>
      <c r="H130" s="2" t="s">
        <v>35</v>
      </c>
      <c r="I130" t="s">
        <v>37</v>
      </c>
      <c r="J130" s="2" t="s">
        <v>24</v>
      </c>
      <c r="K130" t="s">
        <v>25</v>
      </c>
      <c r="L130" s="2"/>
      <c r="N130" s="2"/>
      <c r="O130" s="109"/>
      <c r="P130" s="107"/>
      <c r="Q130" s="4"/>
      <c r="R130" s="103" t="s">
        <v>237</v>
      </c>
    </row>
    <row r="131" spans="1:18" ht="42.75" x14ac:dyDescent="0.45">
      <c r="A131" t="s">
        <v>44</v>
      </c>
      <c r="B131" t="s">
        <v>70</v>
      </c>
      <c r="C131" s="2" t="s">
        <v>40</v>
      </c>
      <c r="D131" t="s">
        <v>32</v>
      </c>
      <c r="E131" s="18">
        <v>0.61499999999999999</v>
      </c>
      <c r="F131" s="18">
        <v>0.52</v>
      </c>
      <c r="G131" s="18">
        <v>0.71</v>
      </c>
      <c r="H131" s="2" t="s">
        <v>35</v>
      </c>
      <c r="I131" t="s">
        <v>38</v>
      </c>
      <c r="J131" s="2" t="s">
        <v>24</v>
      </c>
      <c r="K131" t="s">
        <v>25</v>
      </c>
      <c r="L131" s="2"/>
      <c r="N131" s="2"/>
      <c r="O131" s="109"/>
      <c r="P131" s="107"/>
      <c r="Q131" s="4"/>
      <c r="R131" s="103" t="s">
        <v>237</v>
      </c>
    </row>
    <row r="132" spans="1:18" x14ac:dyDescent="0.45">
      <c r="A132" t="s">
        <v>44</v>
      </c>
      <c r="B132" t="s">
        <v>70</v>
      </c>
      <c r="C132" s="2" t="s">
        <v>41</v>
      </c>
      <c r="D132" t="s">
        <v>32</v>
      </c>
      <c r="E132" s="18">
        <v>0</v>
      </c>
      <c r="F132" s="18">
        <v>0</v>
      </c>
      <c r="G132" s="18">
        <v>0</v>
      </c>
      <c r="H132" s="2" t="s">
        <v>35</v>
      </c>
      <c r="I132" t="s">
        <v>36</v>
      </c>
      <c r="J132" s="2" t="s">
        <v>40</v>
      </c>
      <c r="K132" t="s">
        <v>32</v>
      </c>
      <c r="L132" s="2" t="s">
        <v>45</v>
      </c>
      <c r="M132" t="s">
        <v>32</v>
      </c>
      <c r="N132" s="2"/>
      <c r="O132" s="109"/>
      <c r="P132" s="107"/>
      <c r="Q132" s="4"/>
      <c r="R132" s="97" t="s">
        <v>173</v>
      </c>
    </row>
    <row r="133" spans="1:18" x14ac:dyDescent="0.45">
      <c r="A133" t="s">
        <v>44</v>
      </c>
      <c r="B133" t="s">
        <v>70</v>
      </c>
      <c r="C133" s="2" t="s">
        <v>41</v>
      </c>
      <c r="D133" t="s">
        <v>32</v>
      </c>
      <c r="E133" s="18">
        <v>0</v>
      </c>
      <c r="F133" s="18">
        <v>0</v>
      </c>
      <c r="G133" s="18">
        <v>0</v>
      </c>
      <c r="H133" s="2" t="s">
        <v>35</v>
      </c>
      <c r="I133" t="s">
        <v>37</v>
      </c>
      <c r="J133" s="2" t="s">
        <v>40</v>
      </c>
      <c r="K133" t="s">
        <v>32</v>
      </c>
      <c r="L133" s="2" t="s">
        <v>45</v>
      </c>
      <c r="M133" t="s">
        <v>32</v>
      </c>
      <c r="N133" s="2"/>
      <c r="O133" s="109"/>
      <c r="P133" s="107"/>
      <c r="Q133" s="4"/>
      <c r="R133" s="97" t="s">
        <v>173</v>
      </c>
    </row>
    <row r="134" spans="1:18" x14ac:dyDescent="0.45">
      <c r="A134" t="s">
        <v>44</v>
      </c>
      <c r="B134" t="s">
        <v>70</v>
      </c>
      <c r="C134" s="2" t="s">
        <v>41</v>
      </c>
      <c r="D134" t="s">
        <v>32</v>
      </c>
      <c r="E134" s="18">
        <v>0</v>
      </c>
      <c r="F134" s="18">
        <v>0</v>
      </c>
      <c r="G134" s="18">
        <v>0</v>
      </c>
      <c r="H134" s="2" t="s">
        <v>35</v>
      </c>
      <c r="I134" t="s">
        <v>38</v>
      </c>
      <c r="J134" s="2" t="s">
        <v>40</v>
      </c>
      <c r="K134" t="s">
        <v>32</v>
      </c>
      <c r="L134" s="2" t="s">
        <v>45</v>
      </c>
      <c r="M134" t="s">
        <v>32</v>
      </c>
      <c r="N134" s="2"/>
      <c r="O134" s="109"/>
      <c r="P134" s="107"/>
      <c r="Q134" s="4"/>
      <c r="R134" s="97" t="s">
        <v>173</v>
      </c>
    </row>
    <row r="135" spans="1:18" x14ac:dyDescent="0.45">
      <c r="A135" t="s">
        <v>44</v>
      </c>
      <c r="B135" t="s">
        <v>70</v>
      </c>
      <c r="C135" s="2" t="s">
        <v>41</v>
      </c>
      <c r="D135" t="s">
        <v>32</v>
      </c>
      <c r="E135" s="18">
        <v>0</v>
      </c>
      <c r="F135" s="18">
        <v>0</v>
      </c>
      <c r="G135" s="18">
        <v>0</v>
      </c>
      <c r="H135" s="2" t="s">
        <v>35</v>
      </c>
      <c r="I135" t="s">
        <v>36</v>
      </c>
      <c r="J135" s="2" t="s">
        <v>40</v>
      </c>
      <c r="K135" t="s">
        <v>34</v>
      </c>
      <c r="L135" s="2" t="s">
        <v>45</v>
      </c>
      <c r="M135" t="s">
        <v>32</v>
      </c>
      <c r="N135" s="2"/>
      <c r="O135" s="109"/>
      <c r="P135" s="107"/>
      <c r="Q135" s="4"/>
      <c r="R135" s="97" t="s">
        <v>173</v>
      </c>
    </row>
    <row r="136" spans="1:18" x14ac:dyDescent="0.45">
      <c r="A136" t="s">
        <v>44</v>
      </c>
      <c r="B136" t="s">
        <v>70</v>
      </c>
      <c r="C136" s="2" t="s">
        <v>41</v>
      </c>
      <c r="D136" t="s">
        <v>32</v>
      </c>
      <c r="E136" s="18">
        <v>0</v>
      </c>
      <c r="F136" s="18">
        <v>0</v>
      </c>
      <c r="G136" s="18">
        <v>0</v>
      </c>
      <c r="H136" s="2" t="s">
        <v>35</v>
      </c>
      <c r="I136" t="s">
        <v>37</v>
      </c>
      <c r="J136" s="2" t="s">
        <v>40</v>
      </c>
      <c r="K136" t="s">
        <v>34</v>
      </c>
      <c r="L136" s="2" t="s">
        <v>45</v>
      </c>
      <c r="M136" t="s">
        <v>32</v>
      </c>
      <c r="N136" s="2"/>
      <c r="O136" s="109"/>
      <c r="P136" s="107"/>
      <c r="Q136" s="4"/>
      <c r="R136" s="97" t="s">
        <v>173</v>
      </c>
    </row>
    <row r="137" spans="1:18" x14ac:dyDescent="0.45">
      <c r="A137" t="s">
        <v>44</v>
      </c>
      <c r="B137" t="s">
        <v>70</v>
      </c>
      <c r="C137" s="2" t="s">
        <v>41</v>
      </c>
      <c r="D137" t="s">
        <v>32</v>
      </c>
      <c r="E137" s="18">
        <v>0</v>
      </c>
      <c r="F137" s="18">
        <v>0</v>
      </c>
      <c r="G137" s="18">
        <v>0</v>
      </c>
      <c r="H137" s="2" t="s">
        <v>35</v>
      </c>
      <c r="I137" t="s">
        <v>38</v>
      </c>
      <c r="J137" s="2" t="s">
        <v>40</v>
      </c>
      <c r="K137" t="s">
        <v>34</v>
      </c>
      <c r="L137" s="2" t="s">
        <v>45</v>
      </c>
      <c r="M137" t="s">
        <v>32</v>
      </c>
      <c r="N137" s="2"/>
      <c r="O137" s="109"/>
      <c r="P137" s="107"/>
      <c r="Q137" s="4"/>
      <c r="R137" s="97" t="s">
        <v>173</v>
      </c>
    </row>
    <row r="138" spans="1:18" x14ac:dyDescent="0.45">
      <c r="A138" t="s">
        <v>44</v>
      </c>
      <c r="B138" t="s">
        <v>70</v>
      </c>
      <c r="C138" s="2" t="s">
        <v>41</v>
      </c>
      <c r="D138" t="s">
        <v>32</v>
      </c>
      <c r="E138" s="18">
        <v>0</v>
      </c>
      <c r="F138" s="18">
        <v>0</v>
      </c>
      <c r="G138" s="18">
        <v>0</v>
      </c>
      <c r="H138" s="2" t="s">
        <v>35</v>
      </c>
      <c r="I138" t="s">
        <v>36</v>
      </c>
      <c r="J138" s="2" t="s">
        <v>40</v>
      </c>
      <c r="K138" t="s">
        <v>32</v>
      </c>
      <c r="L138" s="2" t="s">
        <v>45</v>
      </c>
      <c r="M138" t="s">
        <v>34</v>
      </c>
      <c r="N138" s="2"/>
      <c r="O138" s="109"/>
      <c r="P138" s="107"/>
      <c r="Q138" s="4"/>
      <c r="R138" s="97" t="s">
        <v>173</v>
      </c>
    </row>
    <row r="139" spans="1:18" x14ac:dyDescent="0.45">
      <c r="A139" t="s">
        <v>44</v>
      </c>
      <c r="B139" t="s">
        <v>70</v>
      </c>
      <c r="C139" s="2" t="s">
        <v>41</v>
      </c>
      <c r="D139" t="s">
        <v>32</v>
      </c>
      <c r="E139" s="18">
        <v>0</v>
      </c>
      <c r="F139" s="18">
        <v>0</v>
      </c>
      <c r="G139" s="18">
        <v>0</v>
      </c>
      <c r="H139" s="2" t="s">
        <v>35</v>
      </c>
      <c r="I139" t="s">
        <v>37</v>
      </c>
      <c r="J139" s="2" t="s">
        <v>40</v>
      </c>
      <c r="K139" t="s">
        <v>32</v>
      </c>
      <c r="L139" s="2" t="s">
        <v>45</v>
      </c>
      <c r="M139" t="s">
        <v>34</v>
      </c>
      <c r="N139" s="2"/>
      <c r="O139" s="109"/>
      <c r="P139" s="107"/>
      <c r="Q139" s="4"/>
      <c r="R139" s="97" t="s">
        <v>173</v>
      </c>
    </row>
    <row r="140" spans="1:18" x14ac:dyDescent="0.45">
      <c r="A140" t="s">
        <v>44</v>
      </c>
      <c r="B140" t="s">
        <v>70</v>
      </c>
      <c r="C140" s="2" t="s">
        <v>41</v>
      </c>
      <c r="D140" t="s">
        <v>32</v>
      </c>
      <c r="E140" s="18">
        <v>0</v>
      </c>
      <c r="F140" s="18">
        <v>0</v>
      </c>
      <c r="G140" s="18">
        <v>0</v>
      </c>
      <c r="H140" s="2" t="s">
        <v>35</v>
      </c>
      <c r="I140" t="s">
        <v>38</v>
      </c>
      <c r="J140" s="2" t="s">
        <v>40</v>
      </c>
      <c r="K140" t="s">
        <v>32</v>
      </c>
      <c r="L140" s="2" t="s">
        <v>45</v>
      </c>
      <c r="M140" t="s">
        <v>34</v>
      </c>
      <c r="N140" s="2"/>
      <c r="O140" s="109"/>
      <c r="P140" s="107"/>
      <c r="Q140" s="4"/>
      <c r="R140" s="97" t="s">
        <v>173</v>
      </c>
    </row>
    <row r="141" spans="1:18" x14ac:dyDescent="0.45">
      <c r="A141" t="s">
        <v>44</v>
      </c>
      <c r="B141" t="s">
        <v>70</v>
      </c>
      <c r="C141" s="2" t="s">
        <v>41</v>
      </c>
      <c r="D141" t="s">
        <v>32</v>
      </c>
      <c r="E141" s="18">
        <v>0</v>
      </c>
      <c r="F141" s="18">
        <v>0</v>
      </c>
      <c r="G141" s="18">
        <v>0</v>
      </c>
      <c r="H141" s="2" t="s">
        <v>35</v>
      </c>
      <c r="I141" t="s">
        <v>36</v>
      </c>
      <c r="J141" s="2" t="s">
        <v>40</v>
      </c>
      <c r="K141" t="s">
        <v>34</v>
      </c>
      <c r="L141" s="2" t="s">
        <v>45</v>
      </c>
      <c r="M141" t="s">
        <v>34</v>
      </c>
      <c r="N141" s="2"/>
      <c r="O141" s="109"/>
      <c r="P141" s="107"/>
      <c r="Q141" s="4"/>
      <c r="R141" s="97" t="s">
        <v>173</v>
      </c>
    </row>
    <row r="142" spans="1:18" x14ac:dyDescent="0.45">
      <c r="A142" t="s">
        <v>44</v>
      </c>
      <c r="B142" t="s">
        <v>70</v>
      </c>
      <c r="C142" s="2" t="s">
        <v>41</v>
      </c>
      <c r="D142" t="s">
        <v>32</v>
      </c>
      <c r="E142" s="18">
        <v>0</v>
      </c>
      <c r="F142" s="18">
        <v>0</v>
      </c>
      <c r="G142" s="18">
        <v>0</v>
      </c>
      <c r="H142" s="2" t="s">
        <v>35</v>
      </c>
      <c r="I142" t="s">
        <v>37</v>
      </c>
      <c r="J142" s="2" t="s">
        <v>40</v>
      </c>
      <c r="K142" t="s">
        <v>34</v>
      </c>
      <c r="L142" s="2" t="s">
        <v>45</v>
      </c>
      <c r="M142" t="s">
        <v>34</v>
      </c>
      <c r="N142" s="2"/>
      <c r="O142" s="109"/>
      <c r="P142" s="107"/>
      <c r="Q142" s="4"/>
      <c r="R142" s="97" t="s">
        <v>173</v>
      </c>
    </row>
    <row r="143" spans="1:18" x14ac:dyDescent="0.45">
      <c r="A143" t="s">
        <v>44</v>
      </c>
      <c r="B143" t="s">
        <v>70</v>
      </c>
      <c r="C143" s="2" t="s">
        <v>41</v>
      </c>
      <c r="D143" t="s">
        <v>32</v>
      </c>
      <c r="E143" s="18">
        <v>0</v>
      </c>
      <c r="F143" s="18">
        <v>0</v>
      </c>
      <c r="G143" s="18">
        <v>0</v>
      </c>
      <c r="H143" s="2" t="s">
        <v>35</v>
      </c>
      <c r="I143" t="s">
        <v>38</v>
      </c>
      <c r="J143" s="2" t="s">
        <v>40</v>
      </c>
      <c r="K143" t="s">
        <v>34</v>
      </c>
      <c r="L143" s="2" t="s">
        <v>45</v>
      </c>
      <c r="M143" t="s">
        <v>34</v>
      </c>
      <c r="N143" s="2"/>
      <c r="O143" s="109"/>
      <c r="P143" s="107"/>
      <c r="Q143" s="4"/>
      <c r="R143" s="97" t="s">
        <v>173</v>
      </c>
    </row>
    <row r="144" spans="1:18" x14ac:dyDescent="0.45">
      <c r="A144" t="s">
        <v>44</v>
      </c>
      <c r="B144" t="s">
        <v>70</v>
      </c>
      <c r="C144" s="2" t="s">
        <v>46</v>
      </c>
      <c r="D144" t="s">
        <v>32</v>
      </c>
      <c r="E144" s="18">
        <v>0.01</v>
      </c>
      <c r="F144" s="18">
        <v>5.0000000000000001E-3</v>
      </c>
      <c r="G144" s="18">
        <v>1.4999999999999999E-2</v>
      </c>
      <c r="H144" s="2" t="s">
        <v>41</v>
      </c>
      <c r="I144" t="s">
        <v>32</v>
      </c>
      <c r="J144" s="2" t="s">
        <v>45</v>
      </c>
      <c r="K144" t="s">
        <v>32</v>
      </c>
      <c r="L144" s="2" t="s">
        <v>35</v>
      </c>
      <c r="M144" t="s">
        <v>36</v>
      </c>
      <c r="N144" s="2" t="s">
        <v>29</v>
      </c>
      <c r="O144" s="109" t="s">
        <v>18</v>
      </c>
      <c r="P144" s="107"/>
      <c r="Q144" s="4"/>
      <c r="R144" s="97" t="s">
        <v>162</v>
      </c>
    </row>
    <row r="145" spans="1:18" x14ac:dyDescent="0.45">
      <c r="A145" t="s">
        <v>44</v>
      </c>
      <c r="B145" t="s">
        <v>70</v>
      </c>
      <c r="C145" s="2" t="s">
        <v>46</v>
      </c>
      <c r="D145" t="s">
        <v>32</v>
      </c>
      <c r="E145" s="18">
        <v>0.01</v>
      </c>
      <c r="F145" s="18">
        <v>5.0000000000000001E-3</v>
      </c>
      <c r="G145" s="18">
        <v>1.4999999999999999E-2</v>
      </c>
      <c r="H145" s="2" t="s">
        <v>41</v>
      </c>
      <c r="I145" t="s">
        <v>34</v>
      </c>
      <c r="J145" s="2" t="s">
        <v>45</v>
      </c>
      <c r="K145" t="s">
        <v>32</v>
      </c>
      <c r="L145" s="2" t="s">
        <v>35</v>
      </c>
      <c r="M145" t="s">
        <v>36</v>
      </c>
      <c r="N145" s="2" t="s">
        <v>29</v>
      </c>
      <c r="O145" s="109" t="s">
        <v>18</v>
      </c>
      <c r="P145" s="107"/>
      <c r="Q145" s="4"/>
      <c r="R145" s="97" t="s">
        <v>162</v>
      </c>
    </row>
    <row r="146" spans="1:18" x14ac:dyDescent="0.45">
      <c r="A146" t="s">
        <v>44</v>
      </c>
      <c r="B146" t="s">
        <v>70</v>
      </c>
      <c r="C146" s="2" t="s">
        <v>46</v>
      </c>
      <c r="D146" t="s">
        <v>32</v>
      </c>
      <c r="E146" s="18">
        <v>0</v>
      </c>
      <c r="F146" s="18">
        <v>0</v>
      </c>
      <c r="G146" s="18">
        <v>0</v>
      </c>
      <c r="H146" s="2" t="s">
        <v>41</v>
      </c>
      <c r="I146" t="s">
        <v>32</v>
      </c>
      <c r="J146" s="2" t="s">
        <v>45</v>
      </c>
      <c r="K146" t="s">
        <v>34</v>
      </c>
      <c r="L146" s="2" t="s">
        <v>35</v>
      </c>
      <c r="M146" t="s">
        <v>36</v>
      </c>
      <c r="N146" s="2" t="s">
        <v>29</v>
      </c>
      <c r="O146" s="109" t="s">
        <v>18</v>
      </c>
      <c r="P146" s="107"/>
      <c r="Q146" s="4"/>
      <c r="R146" s="102" t="s">
        <v>164</v>
      </c>
    </row>
    <row r="147" spans="1:18" x14ac:dyDescent="0.45">
      <c r="A147" t="s">
        <v>44</v>
      </c>
      <c r="B147" t="s">
        <v>70</v>
      </c>
      <c r="C147" s="2" t="s">
        <v>46</v>
      </c>
      <c r="D147" t="s">
        <v>32</v>
      </c>
      <c r="E147" s="18">
        <v>0</v>
      </c>
      <c r="F147" s="18">
        <v>0</v>
      </c>
      <c r="G147" s="18">
        <v>0</v>
      </c>
      <c r="H147" s="2" t="s">
        <v>41</v>
      </c>
      <c r="I147" t="s">
        <v>34</v>
      </c>
      <c r="J147" s="2" t="s">
        <v>45</v>
      </c>
      <c r="K147" t="s">
        <v>34</v>
      </c>
      <c r="L147" s="2" t="s">
        <v>35</v>
      </c>
      <c r="M147" t="s">
        <v>36</v>
      </c>
      <c r="N147" s="2" t="s">
        <v>29</v>
      </c>
      <c r="O147" s="109" t="s">
        <v>18</v>
      </c>
      <c r="P147" s="107"/>
      <c r="Q147" s="4"/>
      <c r="R147" s="102" t="s">
        <v>164</v>
      </c>
    </row>
    <row r="148" spans="1:18" ht="42.75" x14ac:dyDescent="0.45">
      <c r="A148" t="s">
        <v>44</v>
      </c>
      <c r="B148" t="s">
        <v>70</v>
      </c>
      <c r="C148" s="2" t="s">
        <v>46</v>
      </c>
      <c r="D148" t="s">
        <v>32</v>
      </c>
      <c r="E148" s="20">
        <v>0.36174062559848719</v>
      </c>
      <c r="F148" s="18">
        <v>0.26</v>
      </c>
      <c r="G148" s="18">
        <v>0.46</v>
      </c>
      <c r="H148" s="2" t="s">
        <v>41</v>
      </c>
      <c r="I148" t="s">
        <v>32</v>
      </c>
      <c r="J148" s="2" t="s">
        <v>45</v>
      </c>
      <c r="K148" t="s">
        <v>32</v>
      </c>
      <c r="L148" s="2" t="s">
        <v>35</v>
      </c>
      <c r="M148" t="s">
        <v>37</v>
      </c>
      <c r="N148" s="2" t="s">
        <v>29</v>
      </c>
      <c r="O148" s="109" t="s">
        <v>18</v>
      </c>
      <c r="P148" s="107"/>
      <c r="Q148" s="4"/>
      <c r="R148" s="104" t="s">
        <v>238</v>
      </c>
    </row>
    <row r="149" spans="1:18" ht="42.75" x14ac:dyDescent="0.45">
      <c r="A149" t="s">
        <v>44</v>
      </c>
      <c r="B149" t="s">
        <v>70</v>
      </c>
      <c r="C149" s="2" t="s">
        <v>46</v>
      </c>
      <c r="D149" t="s">
        <v>32</v>
      </c>
      <c r="E149" s="20">
        <v>0.36174062559848719</v>
      </c>
      <c r="F149" s="18">
        <v>0.26</v>
      </c>
      <c r="G149" s="18">
        <v>0.46</v>
      </c>
      <c r="H149" s="2" t="s">
        <v>41</v>
      </c>
      <c r="I149" t="s">
        <v>34</v>
      </c>
      <c r="J149" s="2" t="s">
        <v>45</v>
      </c>
      <c r="K149" t="s">
        <v>32</v>
      </c>
      <c r="L149" s="2" t="s">
        <v>35</v>
      </c>
      <c r="M149" t="s">
        <v>37</v>
      </c>
      <c r="N149" s="2" t="s">
        <v>29</v>
      </c>
      <c r="O149" s="109" t="s">
        <v>18</v>
      </c>
      <c r="P149" s="107"/>
      <c r="Q149" s="4"/>
      <c r="R149" s="104" t="s">
        <v>174</v>
      </c>
    </row>
    <row r="150" spans="1:18" x14ac:dyDescent="0.45">
      <c r="A150" t="s">
        <v>44</v>
      </c>
      <c r="B150" t="s">
        <v>70</v>
      </c>
      <c r="C150" s="2" t="s">
        <v>46</v>
      </c>
      <c r="D150" t="s">
        <v>32</v>
      </c>
      <c r="E150" s="18">
        <v>0</v>
      </c>
      <c r="F150" s="18">
        <v>0</v>
      </c>
      <c r="G150" s="18">
        <v>0</v>
      </c>
      <c r="H150" s="2" t="s">
        <v>41</v>
      </c>
      <c r="I150" t="s">
        <v>32</v>
      </c>
      <c r="J150" s="2" t="s">
        <v>45</v>
      </c>
      <c r="K150" t="s">
        <v>34</v>
      </c>
      <c r="L150" s="2" t="s">
        <v>35</v>
      </c>
      <c r="M150" t="s">
        <v>37</v>
      </c>
      <c r="N150" s="2" t="s">
        <v>29</v>
      </c>
      <c r="O150" s="109" t="s">
        <v>18</v>
      </c>
      <c r="P150" s="107"/>
      <c r="Q150" s="4"/>
      <c r="R150" s="103"/>
    </row>
    <row r="151" spans="1:18" x14ac:dyDescent="0.45">
      <c r="A151" t="s">
        <v>44</v>
      </c>
      <c r="B151" t="s">
        <v>70</v>
      </c>
      <c r="C151" s="2" t="s">
        <v>46</v>
      </c>
      <c r="D151" t="s">
        <v>32</v>
      </c>
      <c r="E151" s="18">
        <v>0</v>
      </c>
      <c r="F151" s="18">
        <v>0</v>
      </c>
      <c r="G151" s="18">
        <v>0</v>
      </c>
      <c r="H151" s="2" t="s">
        <v>41</v>
      </c>
      <c r="I151" t="s">
        <v>34</v>
      </c>
      <c r="J151" s="2" t="s">
        <v>45</v>
      </c>
      <c r="K151" t="s">
        <v>34</v>
      </c>
      <c r="L151" s="2" t="s">
        <v>35</v>
      </c>
      <c r="M151" t="s">
        <v>37</v>
      </c>
      <c r="N151" s="2" t="s">
        <v>29</v>
      </c>
      <c r="O151" s="109" t="s">
        <v>18</v>
      </c>
      <c r="P151" s="107"/>
      <c r="Q151" s="4"/>
      <c r="R151" s="103"/>
    </row>
    <row r="152" spans="1:18" ht="42.75" x14ac:dyDescent="0.45">
      <c r="A152" t="s">
        <v>44</v>
      </c>
      <c r="B152" t="s">
        <v>70</v>
      </c>
      <c r="C152" s="2" t="s">
        <v>46</v>
      </c>
      <c r="D152" t="s">
        <v>32</v>
      </c>
      <c r="E152" s="20">
        <v>0.36174062559848719</v>
      </c>
      <c r="F152" s="18">
        <v>0.26</v>
      </c>
      <c r="G152" s="18">
        <v>0.46</v>
      </c>
      <c r="H152" s="2" t="s">
        <v>41</v>
      </c>
      <c r="I152" t="s">
        <v>32</v>
      </c>
      <c r="J152" s="2" t="s">
        <v>45</v>
      </c>
      <c r="K152" t="s">
        <v>32</v>
      </c>
      <c r="L152" s="2" t="s">
        <v>35</v>
      </c>
      <c r="M152" t="s">
        <v>38</v>
      </c>
      <c r="N152" s="2" t="s">
        <v>29</v>
      </c>
      <c r="O152" s="109" t="s">
        <v>18</v>
      </c>
      <c r="P152" s="107"/>
      <c r="Q152" s="4"/>
      <c r="R152" s="104" t="s">
        <v>238</v>
      </c>
    </row>
    <row r="153" spans="1:18" ht="42.75" x14ac:dyDescent="0.45">
      <c r="A153" t="s">
        <v>44</v>
      </c>
      <c r="B153" t="s">
        <v>70</v>
      </c>
      <c r="C153" s="2" t="s">
        <v>46</v>
      </c>
      <c r="D153" t="s">
        <v>32</v>
      </c>
      <c r="E153" s="20">
        <v>0.36174062559848719</v>
      </c>
      <c r="F153" s="18">
        <v>0.26</v>
      </c>
      <c r="G153" s="18">
        <v>0.46</v>
      </c>
      <c r="H153" s="2" t="s">
        <v>41</v>
      </c>
      <c r="I153" t="s">
        <v>34</v>
      </c>
      <c r="J153" s="2" t="s">
        <v>45</v>
      </c>
      <c r="K153" t="s">
        <v>32</v>
      </c>
      <c r="L153" s="2" t="s">
        <v>35</v>
      </c>
      <c r="M153" t="s">
        <v>38</v>
      </c>
      <c r="N153" s="2" t="s">
        <v>29</v>
      </c>
      <c r="O153" s="109" t="s">
        <v>18</v>
      </c>
      <c r="P153" s="107"/>
      <c r="Q153" s="4"/>
      <c r="R153" s="104" t="s">
        <v>174</v>
      </c>
    </row>
    <row r="154" spans="1:18" x14ac:dyDescent="0.45">
      <c r="A154" t="s">
        <v>44</v>
      </c>
      <c r="B154" t="s">
        <v>70</v>
      </c>
      <c r="C154" s="2" t="s">
        <v>46</v>
      </c>
      <c r="D154" t="s">
        <v>32</v>
      </c>
      <c r="E154" s="18">
        <v>0</v>
      </c>
      <c r="F154" s="18">
        <v>0</v>
      </c>
      <c r="G154" s="18">
        <v>0</v>
      </c>
      <c r="H154" s="2" t="s">
        <v>41</v>
      </c>
      <c r="I154" t="s">
        <v>32</v>
      </c>
      <c r="J154" s="2" t="s">
        <v>45</v>
      </c>
      <c r="K154" t="s">
        <v>34</v>
      </c>
      <c r="L154" s="2" t="s">
        <v>35</v>
      </c>
      <c r="M154" t="s">
        <v>38</v>
      </c>
      <c r="N154" s="2" t="s">
        <v>29</v>
      </c>
      <c r="O154" s="109" t="s">
        <v>18</v>
      </c>
      <c r="P154" s="107"/>
      <c r="Q154" s="4"/>
      <c r="R154" s="103"/>
    </row>
    <row r="155" spans="1:18" x14ac:dyDescent="0.45">
      <c r="A155" t="s">
        <v>44</v>
      </c>
      <c r="B155" t="s">
        <v>70</v>
      </c>
      <c r="C155" s="2" t="s">
        <v>46</v>
      </c>
      <c r="D155" t="s">
        <v>32</v>
      </c>
      <c r="E155" s="18">
        <v>0</v>
      </c>
      <c r="F155" s="18">
        <v>0</v>
      </c>
      <c r="G155" s="18">
        <v>0</v>
      </c>
      <c r="H155" s="2" t="s">
        <v>41</v>
      </c>
      <c r="I155" t="s">
        <v>34</v>
      </c>
      <c r="J155" s="2" t="s">
        <v>45</v>
      </c>
      <c r="K155" t="s">
        <v>34</v>
      </c>
      <c r="L155" s="2" t="s">
        <v>35</v>
      </c>
      <c r="M155" t="s">
        <v>38</v>
      </c>
      <c r="N155" s="2" t="s">
        <v>29</v>
      </c>
      <c r="O155" s="109" t="s">
        <v>18</v>
      </c>
      <c r="P155" s="107"/>
      <c r="Q155" s="4"/>
      <c r="R155" s="97"/>
    </row>
    <row r="156" spans="1:18" x14ac:dyDescent="0.45">
      <c r="A156" t="s">
        <v>44</v>
      </c>
      <c r="B156" t="s">
        <v>70</v>
      </c>
      <c r="C156" s="2" t="s">
        <v>46</v>
      </c>
      <c r="D156" t="s">
        <v>32</v>
      </c>
      <c r="E156" s="18">
        <v>0.01</v>
      </c>
      <c r="F156" s="18">
        <v>5.0000000000000001E-3</v>
      </c>
      <c r="G156" s="18">
        <v>1.4999999999999999E-2</v>
      </c>
      <c r="H156" s="2" t="s">
        <v>41</v>
      </c>
      <c r="I156" t="s">
        <v>32</v>
      </c>
      <c r="J156" s="2" t="s">
        <v>45</v>
      </c>
      <c r="K156" t="s">
        <v>32</v>
      </c>
      <c r="L156" s="2" t="s">
        <v>35</v>
      </c>
      <c r="M156" t="s">
        <v>36</v>
      </c>
      <c r="N156" s="2" t="s">
        <v>29</v>
      </c>
      <c r="O156" s="109" t="s">
        <v>30</v>
      </c>
      <c r="P156" s="107"/>
      <c r="Q156" s="4"/>
      <c r="R156" s="97" t="s">
        <v>175</v>
      </c>
    </row>
    <row r="157" spans="1:18" x14ac:dyDescent="0.45">
      <c r="A157" t="s">
        <v>44</v>
      </c>
      <c r="B157" t="s">
        <v>70</v>
      </c>
      <c r="C157" s="2" t="s">
        <v>46</v>
      </c>
      <c r="D157" t="s">
        <v>32</v>
      </c>
      <c r="E157" s="18">
        <v>0.01</v>
      </c>
      <c r="F157" s="18">
        <v>5.0000000000000001E-3</v>
      </c>
      <c r="G157" s="18">
        <v>1.4999999999999999E-2</v>
      </c>
      <c r="H157" s="2" t="s">
        <v>41</v>
      </c>
      <c r="I157" t="s">
        <v>34</v>
      </c>
      <c r="J157" s="2" t="s">
        <v>45</v>
      </c>
      <c r="K157" t="s">
        <v>32</v>
      </c>
      <c r="L157" s="2" t="s">
        <v>35</v>
      </c>
      <c r="M157" t="s">
        <v>36</v>
      </c>
      <c r="N157" s="2" t="s">
        <v>29</v>
      </c>
      <c r="O157" s="109" t="s">
        <v>30</v>
      </c>
      <c r="P157" s="107"/>
      <c r="Q157" s="4"/>
      <c r="R157" s="97" t="s">
        <v>175</v>
      </c>
    </row>
    <row r="158" spans="1:18" x14ac:dyDescent="0.45">
      <c r="A158" t="s">
        <v>44</v>
      </c>
      <c r="B158" t="s">
        <v>70</v>
      </c>
      <c r="C158" s="2" t="s">
        <v>46</v>
      </c>
      <c r="D158" t="s">
        <v>32</v>
      </c>
      <c r="E158" s="18">
        <v>0</v>
      </c>
      <c r="F158" s="18">
        <v>0</v>
      </c>
      <c r="G158" s="18">
        <v>0</v>
      </c>
      <c r="H158" s="2" t="s">
        <v>41</v>
      </c>
      <c r="I158" t="s">
        <v>32</v>
      </c>
      <c r="J158" s="2" t="s">
        <v>45</v>
      </c>
      <c r="K158" t="s">
        <v>34</v>
      </c>
      <c r="L158" s="2" t="s">
        <v>35</v>
      </c>
      <c r="M158" t="s">
        <v>36</v>
      </c>
      <c r="N158" s="2" t="s">
        <v>29</v>
      </c>
      <c r="O158" s="109" t="s">
        <v>30</v>
      </c>
      <c r="P158" s="107"/>
      <c r="Q158" s="4"/>
      <c r="R158" s="97"/>
    </row>
    <row r="159" spans="1:18" x14ac:dyDescent="0.45">
      <c r="A159" t="s">
        <v>44</v>
      </c>
      <c r="B159" t="s">
        <v>70</v>
      </c>
      <c r="C159" s="2" t="s">
        <v>46</v>
      </c>
      <c r="D159" t="s">
        <v>32</v>
      </c>
      <c r="E159" s="18">
        <v>0</v>
      </c>
      <c r="F159" s="18">
        <v>0</v>
      </c>
      <c r="G159" s="18">
        <v>0</v>
      </c>
      <c r="H159" s="2" t="s">
        <v>41</v>
      </c>
      <c r="I159" t="s">
        <v>34</v>
      </c>
      <c r="J159" s="2" t="s">
        <v>45</v>
      </c>
      <c r="K159" t="s">
        <v>34</v>
      </c>
      <c r="L159" s="2" t="s">
        <v>35</v>
      </c>
      <c r="M159" t="s">
        <v>36</v>
      </c>
      <c r="N159" s="2" t="s">
        <v>29</v>
      </c>
      <c r="O159" s="109" t="s">
        <v>30</v>
      </c>
      <c r="P159" s="107"/>
      <c r="Q159" s="4"/>
      <c r="R159" s="103"/>
    </row>
    <row r="160" spans="1:18" ht="28.5" x14ac:dyDescent="0.45">
      <c r="A160" t="s">
        <v>44</v>
      </c>
      <c r="B160" t="s">
        <v>70</v>
      </c>
      <c r="C160" s="2" t="s">
        <v>46</v>
      </c>
      <c r="D160" t="s">
        <v>32</v>
      </c>
      <c r="E160" s="18">
        <v>0.6</v>
      </c>
      <c r="F160" s="18">
        <v>0.5</v>
      </c>
      <c r="G160" s="18">
        <v>0.7</v>
      </c>
      <c r="H160" s="2" t="s">
        <v>41</v>
      </c>
      <c r="I160" t="s">
        <v>32</v>
      </c>
      <c r="J160" s="2" t="s">
        <v>45</v>
      </c>
      <c r="K160" t="s">
        <v>32</v>
      </c>
      <c r="L160" s="2" t="s">
        <v>35</v>
      </c>
      <c r="M160" t="s">
        <v>37</v>
      </c>
      <c r="N160" s="2" t="s">
        <v>29</v>
      </c>
      <c r="O160" s="109" t="s">
        <v>30</v>
      </c>
      <c r="P160" s="107"/>
      <c r="Q160" s="4"/>
      <c r="R160" s="104" t="s">
        <v>233</v>
      </c>
    </row>
    <row r="161" spans="1:207" ht="28.5" x14ac:dyDescent="0.45">
      <c r="A161" t="s">
        <v>44</v>
      </c>
      <c r="B161" t="s">
        <v>70</v>
      </c>
      <c r="C161" s="2" t="s">
        <v>46</v>
      </c>
      <c r="D161" t="s">
        <v>32</v>
      </c>
      <c r="E161" s="18">
        <v>0.6</v>
      </c>
      <c r="F161" s="18">
        <v>0.5</v>
      </c>
      <c r="G161" s="18">
        <v>0.7</v>
      </c>
      <c r="H161" s="2" t="s">
        <v>41</v>
      </c>
      <c r="I161" t="s">
        <v>34</v>
      </c>
      <c r="J161" s="2" t="s">
        <v>45</v>
      </c>
      <c r="K161" t="s">
        <v>32</v>
      </c>
      <c r="L161" s="2" t="s">
        <v>35</v>
      </c>
      <c r="M161" t="s">
        <v>37</v>
      </c>
      <c r="N161" s="2" t="s">
        <v>29</v>
      </c>
      <c r="O161" s="109" t="s">
        <v>30</v>
      </c>
      <c r="P161" s="107"/>
      <c r="Q161" s="4"/>
      <c r="R161" s="104" t="s">
        <v>234</v>
      </c>
    </row>
    <row r="162" spans="1:207" x14ac:dyDescent="0.45">
      <c r="A162" t="s">
        <v>44</v>
      </c>
      <c r="B162" t="s">
        <v>70</v>
      </c>
      <c r="C162" s="2" t="s">
        <v>46</v>
      </c>
      <c r="D162" t="s">
        <v>32</v>
      </c>
      <c r="E162" s="18">
        <v>0</v>
      </c>
      <c r="F162" s="18">
        <v>0</v>
      </c>
      <c r="G162" s="18">
        <v>0</v>
      </c>
      <c r="H162" s="2" t="s">
        <v>41</v>
      </c>
      <c r="I162" t="s">
        <v>32</v>
      </c>
      <c r="J162" s="2" t="s">
        <v>45</v>
      </c>
      <c r="K162" t="s">
        <v>34</v>
      </c>
      <c r="L162" s="2" t="s">
        <v>35</v>
      </c>
      <c r="M162" t="s">
        <v>37</v>
      </c>
      <c r="N162" s="2" t="s">
        <v>29</v>
      </c>
      <c r="O162" s="109" t="s">
        <v>30</v>
      </c>
      <c r="P162" s="107"/>
      <c r="Q162" s="4"/>
      <c r="R162" s="103"/>
    </row>
    <row r="163" spans="1:207" x14ac:dyDescent="0.45">
      <c r="A163" t="s">
        <v>44</v>
      </c>
      <c r="B163" t="s">
        <v>70</v>
      </c>
      <c r="C163" s="2" t="s">
        <v>46</v>
      </c>
      <c r="D163" t="s">
        <v>32</v>
      </c>
      <c r="E163" s="18">
        <v>0</v>
      </c>
      <c r="F163" s="18">
        <v>0</v>
      </c>
      <c r="G163" s="18">
        <v>0</v>
      </c>
      <c r="H163" s="2" t="s">
        <v>41</v>
      </c>
      <c r="I163" t="s">
        <v>34</v>
      </c>
      <c r="J163" s="2" t="s">
        <v>45</v>
      </c>
      <c r="K163" t="s">
        <v>34</v>
      </c>
      <c r="L163" s="2" t="s">
        <v>35</v>
      </c>
      <c r="M163" t="s">
        <v>37</v>
      </c>
      <c r="N163" s="2" t="s">
        <v>29</v>
      </c>
      <c r="O163" s="109" t="s">
        <v>30</v>
      </c>
      <c r="P163" s="107"/>
      <c r="Q163" s="4"/>
      <c r="R163" s="103"/>
    </row>
    <row r="164" spans="1:207" ht="28.5" x14ac:dyDescent="0.45">
      <c r="A164" t="s">
        <v>44</v>
      </c>
      <c r="B164" t="s">
        <v>70</v>
      </c>
      <c r="C164" s="2" t="s">
        <v>46</v>
      </c>
      <c r="D164" t="s">
        <v>32</v>
      </c>
      <c r="E164" s="18">
        <v>0.6</v>
      </c>
      <c r="F164" s="18">
        <v>0.5</v>
      </c>
      <c r="G164" s="18">
        <v>0.7</v>
      </c>
      <c r="H164" s="2" t="s">
        <v>41</v>
      </c>
      <c r="I164" t="s">
        <v>32</v>
      </c>
      <c r="J164" s="2" t="s">
        <v>45</v>
      </c>
      <c r="K164" t="s">
        <v>32</v>
      </c>
      <c r="L164" s="2" t="s">
        <v>35</v>
      </c>
      <c r="M164" t="s">
        <v>38</v>
      </c>
      <c r="N164" s="2" t="s">
        <v>29</v>
      </c>
      <c r="O164" s="109" t="s">
        <v>30</v>
      </c>
      <c r="P164" s="107"/>
      <c r="Q164" s="4"/>
      <c r="R164" s="104" t="s">
        <v>233</v>
      </c>
    </row>
    <row r="165" spans="1:207" ht="28.5" x14ac:dyDescent="0.45">
      <c r="A165" t="s">
        <v>44</v>
      </c>
      <c r="B165" t="s">
        <v>70</v>
      </c>
      <c r="C165" s="2" t="s">
        <v>46</v>
      </c>
      <c r="D165" t="s">
        <v>32</v>
      </c>
      <c r="E165" s="18">
        <v>0.6</v>
      </c>
      <c r="F165" s="18">
        <v>0.5</v>
      </c>
      <c r="G165" s="18">
        <v>0.7</v>
      </c>
      <c r="H165" s="2" t="s">
        <v>41</v>
      </c>
      <c r="I165" t="s">
        <v>34</v>
      </c>
      <c r="J165" s="2" t="s">
        <v>45</v>
      </c>
      <c r="K165" t="s">
        <v>32</v>
      </c>
      <c r="L165" s="2" t="s">
        <v>35</v>
      </c>
      <c r="M165" t="s">
        <v>38</v>
      </c>
      <c r="N165" s="2" t="s">
        <v>29</v>
      </c>
      <c r="O165" s="109" t="s">
        <v>30</v>
      </c>
      <c r="P165" s="107"/>
      <c r="Q165" s="4"/>
      <c r="R165" s="104" t="s">
        <v>234</v>
      </c>
    </row>
    <row r="166" spans="1:207" x14ac:dyDescent="0.45">
      <c r="A166" t="s">
        <v>44</v>
      </c>
      <c r="B166" t="s">
        <v>70</v>
      </c>
      <c r="C166" s="2" t="s">
        <v>46</v>
      </c>
      <c r="D166" t="s">
        <v>32</v>
      </c>
      <c r="E166" s="18">
        <v>0</v>
      </c>
      <c r="F166" s="51">
        <v>0</v>
      </c>
      <c r="G166" s="51">
        <v>0</v>
      </c>
      <c r="H166" s="2" t="s">
        <v>41</v>
      </c>
      <c r="I166" t="s">
        <v>32</v>
      </c>
      <c r="J166" s="2" t="s">
        <v>45</v>
      </c>
      <c r="K166" t="s">
        <v>34</v>
      </c>
      <c r="L166" s="2" t="s">
        <v>35</v>
      </c>
      <c r="M166" t="s">
        <v>38</v>
      </c>
      <c r="N166" s="2" t="s">
        <v>29</v>
      </c>
      <c r="O166" s="109" t="s">
        <v>30</v>
      </c>
      <c r="P166" s="107"/>
      <c r="Q166" s="4"/>
      <c r="R166" s="103"/>
    </row>
    <row r="167" spans="1:207" x14ac:dyDescent="0.45">
      <c r="A167" t="s">
        <v>44</v>
      </c>
      <c r="B167" t="s">
        <v>70</v>
      </c>
      <c r="C167" s="2" t="s">
        <v>46</v>
      </c>
      <c r="D167" t="s">
        <v>32</v>
      </c>
      <c r="E167" s="18">
        <v>0</v>
      </c>
      <c r="F167" s="51">
        <v>0</v>
      </c>
      <c r="G167" s="51">
        <v>0</v>
      </c>
      <c r="H167" s="2" t="s">
        <v>41</v>
      </c>
      <c r="I167" t="s">
        <v>34</v>
      </c>
      <c r="J167" s="2" t="s">
        <v>45</v>
      </c>
      <c r="K167" t="s">
        <v>34</v>
      </c>
      <c r="L167" s="2" t="s">
        <v>35</v>
      </c>
      <c r="M167" t="s">
        <v>38</v>
      </c>
      <c r="N167" s="2" t="s">
        <v>29</v>
      </c>
      <c r="O167" s="109" t="s">
        <v>30</v>
      </c>
      <c r="P167" s="107"/>
      <c r="Q167" s="4"/>
      <c r="R167" s="97"/>
    </row>
    <row r="168" spans="1:207" s="31" customFormat="1" ht="28.5" x14ac:dyDescent="0.45">
      <c r="A168" s="31" t="s">
        <v>44</v>
      </c>
      <c r="B168" s="31" t="s">
        <v>70</v>
      </c>
      <c r="C168" s="57" t="s">
        <v>47</v>
      </c>
      <c r="D168" s="31" t="s">
        <v>32</v>
      </c>
      <c r="E168" s="49">
        <v>3.0354689784310772E-4</v>
      </c>
      <c r="F168" s="33">
        <v>0</v>
      </c>
      <c r="G168" s="50">
        <v>1.0138130564716949E-3</v>
      </c>
      <c r="H168" s="32" t="s">
        <v>46</v>
      </c>
      <c r="I168" s="31" t="s">
        <v>32</v>
      </c>
      <c r="J168" s="32" t="s">
        <v>41</v>
      </c>
      <c r="K168" s="31" t="s">
        <v>32</v>
      </c>
      <c r="L168" s="32" t="s">
        <v>45</v>
      </c>
      <c r="M168" s="31" t="s">
        <v>32</v>
      </c>
      <c r="N168" s="32" t="s">
        <v>35</v>
      </c>
      <c r="O168" s="110" t="s">
        <v>36</v>
      </c>
      <c r="P168" s="108"/>
      <c r="Q168" s="58"/>
      <c r="R168" s="105" t="s">
        <v>199</v>
      </c>
      <c r="X168" s="95"/>
      <c r="Y168" s="95"/>
      <c r="Z168" s="95"/>
      <c r="AA168" s="95"/>
      <c r="AB168" s="95"/>
      <c r="AC168" s="95"/>
      <c r="AD168" s="95"/>
      <c r="AE168" s="95"/>
      <c r="AF168" s="95"/>
      <c r="AG168" s="95"/>
      <c r="AH168" s="95"/>
      <c r="AI168" s="95"/>
      <c r="AJ168" s="95"/>
      <c r="AK168" s="95"/>
      <c r="AL168" s="95"/>
      <c r="AM168" s="95"/>
      <c r="AN168" s="95"/>
      <c r="AO168" s="95"/>
      <c r="AP168" s="95"/>
      <c r="AQ168" s="95"/>
      <c r="AR168" s="95"/>
      <c r="AS168" s="95"/>
      <c r="AT168" s="95"/>
      <c r="AU168" s="95"/>
      <c r="AV168" s="95"/>
      <c r="AW168" s="95"/>
      <c r="AX168" s="95"/>
      <c r="AY168" s="95"/>
      <c r="AZ168" s="95"/>
      <c r="BA168" s="95"/>
      <c r="BB168" s="95"/>
      <c r="BC168" s="95"/>
      <c r="BD168" s="95"/>
      <c r="BE168" s="95"/>
      <c r="BF168" s="95"/>
      <c r="BG168" s="95"/>
      <c r="BH168" s="95"/>
      <c r="BI168" s="95"/>
      <c r="BJ168" s="95"/>
      <c r="BK168" s="95"/>
      <c r="BL168" s="95"/>
      <c r="BM168" s="95"/>
      <c r="BN168" s="95"/>
      <c r="BO168" s="95"/>
      <c r="BP168" s="95"/>
      <c r="BQ168" s="95"/>
      <c r="BR168" s="95"/>
      <c r="BS168" s="95"/>
      <c r="BT168" s="95"/>
      <c r="BU168" s="95"/>
      <c r="BV168" s="95"/>
      <c r="BW168" s="95"/>
      <c r="BX168" s="95"/>
      <c r="BY168" s="95"/>
      <c r="BZ168" s="95"/>
      <c r="CA168" s="95"/>
      <c r="CB168" s="95"/>
      <c r="CC168" s="95"/>
      <c r="CD168" s="95"/>
      <c r="CE168" s="95"/>
      <c r="CF168" s="95"/>
      <c r="CG168" s="95"/>
      <c r="CH168" s="95"/>
      <c r="CI168" s="95"/>
      <c r="CJ168" s="95"/>
      <c r="CK168" s="95"/>
      <c r="CL168" s="95"/>
      <c r="CM168" s="95"/>
      <c r="CN168" s="95"/>
      <c r="CO168" s="95"/>
      <c r="CP168" s="95"/>
      <c r="CQ168" s="95"/>
      <c r="CR168" s="95"/>
      <c r="CS168" s="95"/>
      <c r="CT168" s="95"/>
      <c r="CU168" s="95"/>
      <c r="CV168" s="95"/>
      <c r="CW168" s="95"/>
      <c r="CX168" s="95"/>
      <c r="CY168" s="95"/>
      <c r="CZ168" s="95"/>
      <c r="DA168" s="95"/>
      <c r="DB168" s="95"/>
      <c r="DC168" s="95"/>
      <c r="DD168" s="95"/>
      <c r="DE168" s="95"/>
      <c r="DF168" s="95"/>
      <c r="DG168" s="95"/>
      <c r="DH168" s="95"/>
      <c r="DI168" s="95"/>
      <c r="DJ168" s="95"/>
      <c r="DK168" s="95"/>
      <c r="DL168" s="95"/>
      <c r="DM168" s="95"/>
      <c r="DN168" s="95"/>
      <c r="DO168" s="95"/>
      <c r="DP168" s="95"/>
      <c r="DQ168" s="95"/>
      <c r="DR168" s="95"/>
      <c r="DS168" s="95"/>
      <c r="DT168" s="95"/>
      <c r="DU168" s="95"/>
      <c r="DV168" s="95"/>
      <c r="DW168" s="95"/>
      <c r="DX168" s="95"/>
      <c r="DY168" s="95"/>
      <c r="DZ168" s="95"/>
      <c r="EA168" s="95"/>
      <c r="EB168" s="95"/>
      <c r="EC168" s="95"/>
      <c r="ED168" s="95"/>
      <c r="EE168" s="95"/>
      <c r="EF168" s="95"/>
      <c r="EG168" s="95"/>
      <c r="EH168" s="95"/>
      <c r="EI168" s="95"/>
      <c r="EJ168" s="95"/>
      <c r="EK168" s="95"/>
      <c r="EL168" s="95"/>
      <c r="EM168" s="95"/>
      <c r="EN168" s="95"/>
      <c r="EO168" s="95"/>
      <c r="EP168" s="95"/>
      <c r="EQ168" s="95"/>
      <c r="ER168" s="95"/>
      <c r="ES168" s="95"/>
      <c r="ET168" s="95"/>
      <c r="EU168" s="95"/>
      <c r="EV168" s="95"/>
      <c r="EW168" s="95"/>
      <c r="EX168" s="95"/>
      <c r="EY168" s="95"/>
      <c r="EZ168" s="95"/>
      <c r="FA168" s="95"/>
      <c r="FB168" s="95"/>
      <c r="FC168" s="95"/>
      <c r="FD168" s="95"/>
      <c r="FE168" s="95"/>
      <c r="FF168" s="95"/>
      <c r="FG168" s="95"/>
      <c r="FH168" s="95"/>
      <c r="FI168" s="95"/>
      <c r="FJ168" s="95"/>
      <c r="FK168" s="95"/>
      <c r="FL168" s="95"/>
      <c r="FM168" s="95"/>
      <c r="FN168" s="95"/>
      <c r="FO168" s="95"/>
      <c r="FP168" s="95"/>
      <c r="FQ168" s="95"/>
      <c r="FR168" s="95"/>
      <c r="FS168" s="95"/>
      <c r="FT168" s="95"/>
      <c r="FU168" s="95"/>
      <c r="FV168" s="95"/>
      <c r="FW168" s="95"/>
      <c r="FX168" s="95"/>
      <c r="FY168" s="95"/>
      <c r="FZ168" s="95"/>
      <c r="GA168" s="95"/>
      <c r="GB168" s="95"/>
      <c r="GC168" s="95"/>
      <c r="GD168" s="95"/>
      <c r="GE168" s="95"/>
      <c r="GF168" s="95"/>
      <c r="GG168" s="95"/>
      <c r="GH168" s="95"/>
      <c r="GI168" s="95"/>
      <c r="GJ168" s="95"/>
      <c r="GK168" s="95"/>
      <c r="GL168" s="95"/>
      <c r="GM168" s="95"/>
      <c r="GN168" s="95"/>
      <c r="GO168" s="95"/>
      <c r="GP168" s="95"/>
      <c r="GQ168" s="95"/>
      <c r="GR168" s="95"/>
      <c r="GS168" s="95"/>
      <c r="GT168" s="95"/>
      <c r="GU168" s="95"/>
      <c r="GV168" s="95"/>
      <c r="GW168" s="95"/>
      <c r="GX168" s="95"/>
      <c r="GY168" s="95"/>
    </row>
    <row r="169" spans="1:207" x14ac:dyDescent="0.45">
      <c r="A169" t="s">
        <v>44</v>
      </c>
      <c r="B169" t="s">
        <v>70</v>
      </c>
      <c r="C169" s="2" t="s">
        <v>47</v>
      </c>
      <c r="D169" t="s">
        <v>32</v>
      </c>
      <c r="E169" s="52">
        <v>0</v>
      </c>
      <c r="F169" s="52">
        <v>0</v>
      </c>
      <c r="G169" s="52">
        <v>0</v>
      </c>
      <c r="H169" s="2" t="s">
        <v>46</v>
      </c>
      <c r="I169" t="s">
        <v>34</v>
      </c>
      <c r="J169" s="2" t="s">
        <v>41</v>
      </c>
      <c r="K169" t="s">
        <v>32</v>
      </c>
      <c r="L169" s="2" t="s">
        <v>45</v>
      </c>
      <c r="M169" t="s">
        <v>32</v>
      </c>
      <c r="N169" s="2" t="s">
        <v>35</v>
      </c>
      <c r="O169" s="109" t="s">
        <v>36</v>
      </c>
      <c r="P169" s="107"/>
      <c r="Q169" s="4"/>
      <c r="R169" s="102" t="s">
        <v>124</v>
      </c>
    </row>
    <row r="170" spans="1:207" s="31" customFormat="1" ht="28.5" x14ac:dyDescent="0.45">
      <c r="A170" s="31" t="s">
        <v>44</v>
      </c>
      <c r="B170" s="31" t="s">
        <v>70</v>
      </c>
      <c r="C170" s="32" t="s">
        <v>47</v>
      </c>
      <c r="D170" s="31" t="s">
        <v>32</v>
      </c>
      <c r="E170" s="49">
        <v>1.8758248057617653E-4</v>
      </c>
      <c r="F170" s="33">
        <v>0</v>
      </c>
      <c r="G170" s="50">
        <v>6.2650473229928908E-4</v>
      </c>
      <c r="H170" s="32" t="s">
        <v>46</v>
      </c>
      <c r="I170" s="31" t="s">
        <v>32</v>
      </c>
      <c r="J170" s="32" t="s">
        <v>41</v>
      </c>
      <c r="K170" s="31" t="s">
        <v>34</v>
      </c>
      <c r="L170" s="32" t="s">
        <v>45</v>
      </c>
      <c r="M170" s="31" t="s">
        <v>32</v>
      </c>
      <c r="N170" s="32" t="s">
        <v>35</v>
      </c>
      <c r="O170" s="110" t="s">
        <v>36</v>
      </c>
      <c r="P170" s="108"/>
      <c r="Q170" s="34"/>
      <c r="R170" s="105" t="s">
        <v>200</v>
      </c>
      <c r="X170" s="95"/>
      <c r="Y170" s="95"/>
      <c r="Z170" s="95"/>
      <c r="AA170" s="95"/>
      <c r="AB170" s="95"/>
      <c r="AC170" s="95"/>
      <c r="AD170" s="95"/>
      <c r="AE170" s="95"/>
      <c r="AF170" s="95"/>
      <c r="AG170" s="95"/>
      <c r="AH170" s="95"/>
      <c r="AI170" s="95"/>
      <c r="AJ170" s="95"/>
      <c r="AK170" s="95"/>
      <c r="AL170" s="95"/>
      <c r="AM170" s="95"/>
      <c r="AN170" s="95"/>
      <c r="AO170" s="95"/>
      <c r="AP170" s="95"/>
      <c r="AQ170" s="95"/>
      <c r="AR170" s="95"/>
      <c r="AS170" s="95"/>
      <c r="AT170" s="95"/>
      <c r="AU170" s="95"/>
      <c r="AV170" s="95"/>
      <c r="AW170" s="95"/>
      <c r="AX170" s="95"/>
      <c r="AY170" s="95"/>
      <c r="AZ170" s="95"/>
      <c r="BA170" s="95"/>
      <c r="BB170" s="95"/>
      <c r="BC170" s="95"/>
      <c r="BD170" s="95"/>
      <c r="BE170" s="95"/>
      <c r="BF170" s="95"/>
      <c r="BG170" s="95"/>
      <c r="BH170" s="95"/>
      <c r="BI170" s="95"/>
      <c r="BJ170" s="95"/>
      <c r="BK170" s="95"/>
      <c r="BL170" s="95"/>
      <c r="BM170" s="95"/>
      <c r="BN170" s="95"/>
      <c r="BO170" s="95"/>
      <c r="BP170" s="95"/>
      <c r="BQ170" s="95"/>
      <c r="BR170" s="95"/>
      <c r="BS170" s="95"/>
      <c r="BT170" s="95"/>
      <c r="BU170" s="95"/>
      <c r="BV170" s="95"/>
      <c r="BW170" s="95"/>
      <c r="BX170" s="95"/>
      <c r="BY170" s="95"/>
      <c r="BZ170" s="95"/>
      <c r="CA170" s="95"/>
      <c r="CB170" s="95"/>
      <c r="CC170" s="95"/>
      <c r="CD170" s="95"/>
      <c r="CE170" s="95"/>
      <c r="CF170" s="95"/>
      <c r="CG170" s="95"/>
      <c r="CH170" s="95"/>
      <c r="CI170" s="95"/>
      <c r="CJ170" s="95"/>
      <c r="CK170" s="95"/>
      <c r="CL170" s="95"/>
      <c r="CM170" s="95"/>
      <c r="CN170" s="95"/>
      <c r="CO170" s="95"/>
      <c r="CP170" s="95"/>
      <c r="CQ170" s="95"/>
      <c r="CR170" s="95"/>
      <c r="CS170" s="95"/>
      <c r="CT170" s="95"/>
      <c r="CU170" s="95"/>
      <c r="CV170" s="95"/>
      <c r="CW170" s="95"/>
      <c r="CX170" s="95"/>
      <c r="CY170" s="95"/>
      <c r="CZ170" s="95"/>
      <c r="DA170" s="95"/>
      <c r="DB170" s="95"/>
      <c r="DC170" s="95"/>
      <c r="DD170" s="95"/>
      <c r="DE170" s="95"/>
      <c r="DF170" s="95"/>
      <c r="DG170" s="95"/>
      <c r="DH170" s="95"/>
      <c r="DI170" s="95"/>
      <c r="DJ170" s="95"/>
      <c r="DK170" s="95"/>
      <c r="DL170" s="95"/>
      <c r="DM170" s="95"/>
      <c r="DN170" s="95"/>
      <c r="DO170" s="95"/>
      <c r="DP170" s="95"/>
      <c r="DQ170" s="95"/>
      <c r="DR170" s="95"/>
      <c r="DS170" s="95"/>
      <c r="DT170" s="95"/>
      <c r="DU170" s="95"/>
      <c r="DV170" s="95"/>
      <c r="DW170" s="95"/>
      <c r="DX170" s="95"/>
      <c r="DY170" s="95"/>
      <c r="DZ170" s="95"/>
      <c r="EA170" s="95"/>
      <c r="EB170" s="95"/>
      <c r="EC170" s="95"/>
      <c r="ED170" s="95"/>
      <c r="EE170" s="95"/>
      <c r="EF170" s="95"/>
      <c r="EG170" s="95"/>
      <c r="EH170" s="95"/>
      <c r="EI170" s="95"/>
      <c r="EJ170" s="95"/>
      <c r="EK170" s="95"/>
      <c r="EL170" s="95"/>
      <c r="EM170" s="95"/>
      <c r="EN170" s="95"/>
      <c r="EO170" s="95"/>
      <c r="EP170" s="95"/>
      <c r="EQ170" s="95"/>
      <c r="ER170" s="95"/>
      <c r="ES170" s="95"/>
      <c r="ET170" s="95"/>
      <c r="EU170" s="95"/>
      <c r="EV170" s="95"/>
      <c r="EW170" s="95"/>
      <c r="EX170" s="95"/>
      <c r="EY170" s="95"/>
      <c r="EZ170" s="95"/>
      <c r="FA170" s="95"/>
      <c r="FB170" s="95"/>
      <c r="FC170" s="95"/>
      <c r="FD170" s="95"/>
      <c r="FE170" s="95"/>
      <c r="FF170" s="95"/>
      <c r="FG170" s="95"/>
      <c r="FH170" s="95"/>
      <c r="FI170" s="95"/>
      <c r="FJ170" s="95"/>
      <c r="FK170" s="95"/>
      <c r="FL170" s="95"/>
      <c r="FM170" s="95"/>
      <c r="FN170" s="95"/>
      <c r="FO170" s="95"/>
      <c r="FP170" s="95"/>
      <c r="FQ170" s="95"/>
      <c r="FR170" s="95"/>
      <c r="FS170" s="95"/>
      <c r="FT170" s="95"/>
      <c r="FU170" s="95"/>
      <c r="FV170" s="95"/>
      <c r="FW170" s="95"/>
      <c r="FX170" s="95"/>
      <c r="FY170" s="95"/>
      <c r="FZ170" s="95"/>
      <c r="GA170" s="95"/>
      <c r="GB170" s="95"/>
      <c r="GC170" s="95"/>
      <c r="GD170" s="95"/>
      <c r="GE170" s="95"/>
      <c r="GF170" s="95"/>
      <c r="GG170" s="95"/>
      <c r="GH170" s="95"/>
      <c r="GI170" s="95"/>
      <c r="GJ170" s="95"/>
      <c r="GK170" s="95"/>
      <c r="GL170" s="95"/>
      <c r="GM170" s="95"/>
      <c r="GN170" s="95"/>
      <c r="GO170" s="95"/>
      <c r="GP170" s="95"/>
      <c r="GQ170" s="95"/>
      <c r="GR170" s="95"/>
      <c r="GS170" s="95"/>
      <c r="GT170" s="95"/>
      <c r="GU170" s="95"/>
      <c r="GV170" s="95"/>
      <c r="GW170" s="95"/>
      <c r="GX170" s="95"/>
      <c r="GY170" s="95"/>
    </row>
    <row r="171" spans="1:207" x14ac:dyDescent="0.45">
      <c r="A171" t="s">
        <v>44</v>
      </c>
      <c r="B171" t="s">
        <v>70</v>
      </c>
      <c r="C171" s="2" t="s">
        <v>47</v>
      </c>
      <c r="D171" t="s">
        <v>32</v>
      </c>
      <c r="E171" s="21">
        <v>0</v>
      </c>
      <c r="F171" s="21">
        <v>0</v>
      </c>
      <c r="G171" s="21">
        <v>0</v>
      </c>
      <c r="H171" s="2" t="s">
        <v>46</v>
      </c>
      <c r="I171" t="s">
        <v>34</v>
      </c>
      <c r="J171" s="2" t="s">
        <v>41</v>
      </c>
      <c r="K171" t="s">
        <v>34</v>
      </c>
      <c r="L171" s="2" t="s">
        <v>45</v>
      </c>
      <c r="M171" t="s">
        <v>32</v>
      </c>
      <c r="N171" s="2" t="s">
        <v>35</v>
      </c>
      <c r="O171" s="109" t="s">
        <v>36</v>
      </c>
      <c r="P171" s="107"/>
      <c r="Q171" s="4"/>
      <c r="R171" s="102" t="s">
        <v>124</v>
      </c>
    </row>
    <row r="172" spans="1:207" x14ac:dyDescent="0.45">
      <c r="A172" t="s">
        <v>44</v>
      </c>
      <c r="B172" t="s">
        <v>70</v>
      </c>
      <c r="C172" s="2" t="s">
        <v>47</v>
      </c>
      <c r="D172" t="s">
        <v>32</v>
      </c>
      <c r="E172" s="21">
        <v>0</v>
      </c>
      <c r="F172" s="21">
        <v>0</v>
      </c>
      <c r="G172" s="21">
        <v>0</v>
      </c>
      <c r="H172" s="2" t="s">
        <v>46</v>
      </c>
      <c r="I172" t="s">
        <v>32</v>
      </c>
      <c r="J172" s="2" t="s">
        <v>41</v>
      </c>
      <c r="K172" t="s">
        <v>32</v>
      </c>
      <c r="L172" s="2" t="s">
        <v>45</v>
      </c>
      <c r="M172" t="s">
        <v>34</v>
      </c>
      <c r="N172" s="2" t="s">
        <v>35</v>
      </c>
      <c r="O172" s="109" t="s">
        <v>36</v>
      </c>
      <c r="P172" s="107"/>
      <c r="Q172" s="4"/>
      <c r="R172" s="97"/>
    </row>
    <row r="173" spans="1:207" x14ac:dyDescent="0.45">
      <c r="A173" t="s">
        <v>44</v>
      </c>
      <c r="B173" t="s">
        <v>70</v>
      </c>
      <c r="C173" s="2" t="s">
        <v>47</v>
      </c>
      <c r="D173" t="s">
        <v>32</v>
      </c>
      <c r="E173" s="21">
        <v>0</v>
      </c>
      <c r="F173" s="21">
        <v>0</v>
      </c>
      <c r="G173" s="21">
        <v>0</v>
      </c>
      <c r="H173" s="2" t="s">
        <v>46</v>
      </c>
      <c r="I173" t="s">
        <v>34</v>
      </c>
      <c r="J173" s="2" t="s">
        <v>41</v>
      </c>
      <c r="K173" t="s">
        <v>32</v>
      </c>
      <c r="L173" s="2" t="s">
        <v>45</v>
      </c>
      <c r="M173" t="s">
        <v>34</v>
      </c>
      <c r="N173" s="2" t="s">
        <v>35</v>
      </c>
      <c r="O173" s="109" t="s">
        <v>36</v>
      </c>
      <c r="P173" s="107"/>
      <c r="Q173" s="4"/>
      <c r="R173" s="97"/>
    </row>
    <row r="174" spans="1:207" x14ac:dyDescent="0.45">
      <c r="A174" t="s">
        <v>44</v>
      </c>
      <c r="B174" t="s">
        <v>70</v>
      </c>
      <c r="C174" s="2" t="s">
        <v>47</v>
      </c>
      <c r="D174" t="s">
        <v>32</v>
      </c>
      <c r="E174" s="21">
        <v>0</v>
      </c>
      <c r="F174" s="21">
        <v>0</v>
      </c>
      <c r="G174" s="21">
        <v>0</v>
      </c>
      <c r="H174" s="2" t="s">
        <v>46</v>
      </c>
      <c r="I174" t="s">
        <v>32</v>
      </c>
      <c r="J174" s="2" t="s">
        <v>41</v>
      </c>
      <c r="K174" t="s">
        <v>34</v>
      </c>
      <c r="L174" s="2" t="s">
        <v>45</v>
      </c>
      <c r="M174" t="s">
        <v>34</v>
      </c>
      <c r="N174" s="2" t="s">
        <v>35</v>
      </c>
      <c r="O174" s="109" t="s">
        <v>36</v>
      </c>
      <c r="P174" s="107"/>
      <c r="Q174" s="4"/>
      <c r="R174" s="97"/>
    </row>
    <row r="175" spans="1:207" x14ac:dyDescent="0.45">
      <c r="A175" t="s">
        <v>44</v>
      </c>
      <c r="B175" t="s">
        <v>70</v>
      </c>
      <c r="C175" s="2" t="s">
        <v>47</v>
      </c>
      <c r="D175" t="s">
        <v>32</v>
      </c>
      <c r="E175" s="21">
        <v>0</v>
      </c>
      <c r="F175" s="21">
        <v>0</v>
      </c>
      <c r="G175" s="21">
        <v>0</v>
      </c>
      <c r="H175" s="2" t="s">
        <v>46</v>
      </c>
      <c r="I175" t="s">
        <v>34</v>
      </c>
      <c r="J175" s="2" t="s">
        <v>41</v>
      </c>
      <c r="K175" t="s">
        <v>34</v>
      </c>
      <c r="L175" s="2" t="s">
        <v>45</v>
      </c>
      <c r="M175" t="s">
        <v>34</v>
      </c>
      <c r="N175" s="2" t="s">
        <v>35</v>
      </c>
      <c r="O175" s="109" t="s">
        <v>36</v>
      </c>
      <c r="P175" s="107"/>
      <c r="Q175" s="4"/>
      <c r="R175" s="97"/>
    </row>
    <row r="176" spans="1:207" s="31" customFormat="1" ht="28.5" x14ac:dyDescent="0.45">
      <c r="A176" s="31" t="s">
        <v>44</v>
      </c>
      <c r="B176" s="31" t="s">
        <v>70</v>
      </c>
      <c r="C176" s="32" t="s">
        <v>47</v>
      </c>
      <c r="D176" s="31" t="s">
        <v>32</v>
      </c>
      <c r="E176" s="49">
        <v>1.214187591372431E-2</v>
      </c>
      <c r="F176" s="50">
        <v>4.4338708199796991E-3</v>
      </c>
      <c r="G176" s="50">
        <v>2.0276261129433894E-2</v>
      </c>
      <c r="H176" s="32" t="s">
        <v>46</v>
      </c>
      <c r="I176" s="31" t="s">
        <v>32</v>
      </c>
      <c r="J176" s="32" t="s">
        <v>41</v>
      </c>
      <c r="K176" s="31" t="s">
        <v>32</v>
      </c>
      <c r="L176" s="32" t="s">
        <v>45</v>
      </c>
      <c r="M176" s="31" t="s">
        <v>32</v>
      </c>
      <c r="N176" s="32" t="s">
        <v>35</v>
      </c>
      <c r="O176" s="110" t="s">
        <v>37</v>
      </c>
      <c r="P176" s="108"/>
      <c r="Q176" s="34"/>
      <c r="R176" s="105" t="s">
        <v>201</v>
      </c>
      <c r="X176" s="95"/>
      <c r="Y176" s="95"/>
      <c r="Z176" s="95"/>
      <c r="AA176" s="95"/>
      <c r="AB176" s="95"/>
      <c r="AC176" s="95"/>
      <c r="AD176" s="95"/>
      <c r="AE176" s="95"/>
      <c r="AF176" s="95"/>
      <c r="AG176" s="95"/>
      <c r="AH176" s="95"/>
      <c r="AI176" s="95"/>
      <c r="AJ176" s="95"/>
      <c r="AK176" s="95"/>
      <c r="AL176" s="95"/>
      <c r="AM176" s="95"/>
      <c r="AN176" s="95"/>
      <c r="AO176" s="95"/>
      <c r="AP176" s="95"/>
      <c r="AQ176" s="95"/>
      <c r="AR176" s="95"/>
      <c r="AS176" s="95"/>
      <c r="AT176" s="95"/>
      <c r="AU176" s="95"/>
      <c r="AV176" s="95"/>
      <c r="AW176" s="95"/>
      <c r="AX176" s="95"/>
      <c r="AY176" s="95"/>
      <c r="AZ176" s="95"/>
      <c r="BA176" s="95"/>
      <c r="BB176" s="95"/>
      <c r="BC176" s="95"/>
      <c r="BD176" s="95"/>
      <c r="BE176" s="95"/>
      <c r="BF176" s="95"/>
      <c r="BG176" s="95"/>
      <c r="BH176" s="95"/>
      <c r="BI176" s="95"/>
      <c r="BJ176" s="95"/>
      <c r="BK176" s="95"/>
      <c r="BL176" s="95"/>
      <c r="BM176" s="95"/>
      <c r="BN176" s="95"/>
      <c r="BO176" s="95"/>
      <c r="BP176" s="95"/>
      <c r="BQ176" s="95"/>
      <c r="BR176" s="95"/>
      <c r="BS176" s="95"/>
      <c r="BT176" s="95"/>
      <c r="BU176" s="95"/>
      <c r="BV176" s="95"/>
      <c r="BW176" s="95"/>
      <c r="BX176" s="95"/>
      <c r="BY176" s="95"/>
      <c r="BZ176" s="95"/>
      <c r="CA176" s="95"/>
      <c r="CB176" s="95"/>
      <c r="CC176" s="95"/>
      <c r="CD176" s="95"/>
      <c r="CE176" s="95"/>
      <c r="CF176" s="95"/>
      <c r="CG176" s="95"/>
      <c r="CH176" s="95"/>
      <c r="CI176" s="95"/>
      <c r="CJ176" s="95"/>
      <c r="CK176" s="95"/>
      <c r="CL176" s="95"/>
      <c r="CM176" s="95"/>
      <c r="CN176" s="95"/>
      <c r="CO176" s="95"/>
      <c r="CP176" s="95"/>
      <c r="CQ176" s="95"/>
      <c r="CR176" s="95"/>
      <c r="CS176" s="95"/>
      <c r="CT176" s="95"/>
      <c r="CU176" s="95"/>
      <c r="CV176" s="95"/>
      <c r="CW176" s="95"/>
      <c r="CX176" s="95"/>
      <c r="CY176" s="95"/>
      <c r="CZ176" s="95"/>
      <c r="DA176" s="95"/>
      <c r="DB176" s="95"/>
      <c r="DC176" s="95"/>
      <c r="DD176" s="95"/>
      <c r="DE176" s="95"/>
      <c r="DF176" s="95"/>
      <c r="DG176" s="95"/>
      <c r="DH176" s="95"/>
      <c r="DI176" s="95"/>
      <c r="DJ176" s="95"/>
      <c r="DK176" s="95"/>
      <c r="DL176" s="95"/>
      <c r="DM176" s="95"/>
      <c r="DN176" s="95"/>
      <c r="DO176" s="95"/>
      <c r="DP176" s="95"/>
      <c r="DQ176" s="95"/>
      <c r="DR176" s="95"/>
      <c r="DS176" s="95"/>
      <c r="DT176" s="95"/>
      <c r="DU176" s="95"/>
      <c r="DV176" s="95"/>
      <c r="DW176" s="95"/>
      <c r="DX176" s="95"/>
      <c r="DY176" s="95"/>
      <c r="DZ176" s="95"/>
      <c r="EA176" s="95"/>
      <c r="EB176" s="95"/>
      <c r="EC176" s="95"/>
      <c r="ED176" s="95"/>
      <c r="EE176" s="95"/>
      <c r="EF176" s="95"/>
      <c r="EG176" s="95"/>
      <c r="EH176" s="95"/>
      <c r="EI176" s="95"/>
      <c r="EJ176" s="95"/>
      <c r="EK176" s="95"/>
      <c r="EL176" s="95"/>
      <c r="EM176" s="95"/>
      <c r="EN176" s="95"/>
      <c r="EO176" s="95"/>
      <c r="EP176" s="95"/>
      <c r="EQ176" s="95"/>
      <c r="ER176" s="95"/>
      <c r="ES176" s="95"/>
      <c r="ET176" s="95"/>
      <c r="EU176" s="95"/>
      <c r="EV176" s="95"/>
      <c r="EW176" s="95"/>
      <c r="EX176" s="95"/>
      <c r="EY176" s="95"/>
      <c r="EZ176" s="95"/>
      <c r="FA176" s="95"/>
      <c r="FB176" s="95"/>
      <c r="FC176" s="95"/>
      <c r="FD176" s="95"/>
      <c r="FE176" s="95"/>
      <c r="FF176" s="95"/>
      <c r="FG176" s="95"/>
      <c r="FH176" s="95"/>
      <c r="FI176" s="95"/>
      <c r="FJ176" s="95"/>
      <c r="FK176" s="95"/>
      <c r="FL176" s="95"/>
      <c r="FM176" s="95"/>
      <c r="FN176" s="95"/>
      <c r="FO176" s="95"/>
      <c r="FP176" s="95"/>
      <c r="FQ176" s="95"/>
      <c r="FR176" s="95"/>
      <c r="FS176" s="95"/>
      <c r="FT176" s="95"/>
      <c r="FU176" s="95"/>
      <c r="FV176" s="95"/>
      <c r="FW176" s="95"/>
      <c r="FX176" s="95"/>
      <c r="FY176" s="95"/>
      <c r="FZ176" s="95"/>
      <c r="GA176" s="95"/>
      <c r="GB176" s="95"/>
      <c r="GC176" s="95"/>
      <c r="GD176" s="95"/>
      <c r="GE176" s="95"/>
      <c r="GF176" s="95"/>
      <c r="GG176" s="95"/>
      <c r="GH176" s="95"/>
      <c r="GI176" s="95"/>
      <c r="GJ176" s="95"/>
      <c r="GK176" s="95"/>
      <c r="GL176" s="95"/>
      <c r="GM176" s="95"/>
      <c r="GN176" s="95"/>
      <c r="GO176" s="95"/>
      <c r="GP176" s="95"/>
      <c r="GQ176" s="95"/>
      <c r="GR176" s="95"/>
      <c r="GS176" s="95"/>
      <c r="GT176" s="95"/>
      <c r="GU176" s="95"/>
      <c r="GV176" s="95"/>
      <c r="GW176" s="95"/>
      <c r="GX176" s="95"/>
      <c r="GY176" s="95"/>
    </row>
    <row r="177" spans="1:207" s="31" customFormat="1" ht="28.5" x14ac:dyDescent="0.45">
      <c r="A177" s="31" t="s">
        <v>44</v>
      </c>
      <c r="B177" s="31" t="s">
        <v>70</v>
      </c>
      <c r="C177" s="32" t="s">
        <v>47</v>
      </c>
      <c r="D177" s="31" t="s">
        <v>32</v>
      </c>
      <c r="E177" s="49">
        <v>0.15177344892155387</v>
      </c>
      <c r="F177" s="33">
        <v>0.1477956939993233</v>
      </c>
      <c r="G177" s="33">
        <v>0.1559712394571838</v>
      </c>
      <c r="H177" s="32" t="s">
        <v>46</v>
      </c>
      <c r="I177" s="31" t="s">
        <v>34</v>
      </c>
      <c r="J177" s="32" t="s">
        <v>41</v>
      </c>
      <c r="K177" s="31" t="s">
        <v>32</v>
      </c>
      <c r="L177" s="32" t="s">
        <v>45</v>
      </c>
      <c r="M177" s="31" t="s">
        <v>32</v>
      </c>
      <c r="N177" s="32" t="s">
        <v>35</v>
      </c>
      <c r="O177" s="110" t="s">
        <v>37</v>
      </c>
      <c r="P177" s="108"/>
      <c r="Q177" s="34"/>
      <c r="R177" s="105" t="s">
        <v>201</v>
      </c>
      <c r="X177" s="95"/>
      <c r="Y177" s="95"/>
      <c r="Z177" s="95"/>
      <c r="AA177" s="95"/>
      <c r="AB177" s="95"/>
      <c r="AC177" s="95"/>
      <c r="AD177" s="95"/>
      <c r="AE177" s="95"/>
      <c r="AF177" s="95"/>
      <c r="AG177" s="95"/>
      <c r="AH177" s="95"/>
      <c r="AI177" s="95"/>
      <c r="AJ177" s="95"/>
      <c r="AK177" s="95"/>
      <c r="AL177" s="95"/>
      <c r="AM177" s="95"/>
      <c r="AN177" s="95"/>
      <c r="AO177" s="95"/>
      <c r="AP177" s="95"/>
      <c r="AQ177" s="95"/>
      <c r="AR177" s="95"/>
      <c r="AS177" s="95"/>
      <c r="AT177" s="95"/>
      <c r="AU177" s="95"/>
      <c r="AV177" s="95"/>
      <c r="AW177" s="95"/>
      <c r="AX177" s="95"/>
      <c r="AY177" s="95"/>
      <c r="AZ177" s="95"/>
      <c r="BA177" s="95"/>
      <c r="BB177" s="95"/>
      <c r="BC177" s="95"/>
      <c r="BD177" s="95"/>
      <c r="BE177" s="95"/>
      <c r="BF177" s="95"/>
      <c r="BG177" s="95"/>
      <c r="BH177" s="95"/>
      <c r="BI177" s="95"/>
      <c r="BJ177" s="95"/>
      <c r="BK177" s="95"/>
      <c r="BL177" s="95"/>
      <c r="BM177" s="95"/>
      <c r="BN177" s="95"/>
      <c r="BO177" s="95"/>
      <c r="BP177" s="95"/>
      <c r="BQ177" s="95"/>
      <c r="BR177" s="95"/>
      <c r="BS177" s="95"/>
      <c r="BT177" s="95"/>
      <c r="BU177" s="95"/>
      <c r="BV177" s="95"/>
      <c r="BW177" s="95"/>
      <c r="BX177" s="95"/>
      <c r="BY177" s="95"/>
      <c r="BZ177" s="95"/>
      <c r="CA177" s="95"/>
      <c r="CB177" s="95"/>
      <c r="CC177" s="95"/>
      <c r="CD177" s="95"/>
      <c r="CE177" s="95"/>
      <c r="CF177" s="95"/>
      <c r="CG177" s="95"/>
      <c r="CH177" s="95"/>
      <c r="CI177" s="95"/>
      <c r="CJ177" s="95"/>
      <c r="CK177" s="95"/>
      <c r="CL177" s="95"/>
      <c r="CM177" s="95"/>
      <c r="CN177" s="95"/>
      <c r="CO177" s="95"/>
      <c r="CP177" s="95"/>
      <c r="CQ177" s="95"/>
      <c r="CR177" s="95"/>
      <c r="CS177" s="95"/>
      <c r="CT177" s="95"/>
      <c r="CU177" s="95"/>
      <c r="CV177" s="95"/>
      <c r="CW177" s="95"/>
      <c r="CX177" s="95"/>
      <c r="CY177" s="95"/>
      <c r="CZ177" s="95"/>
      <c r="DA177" s="95"/>
      <c r="DB177" s="95"/>
      <c r="DC177" s="95"/>
      <c r="DD177" s="95"/>
      <c r="DE177" s="95"/>
      <c r="DF177" s="95"/>
      <c r="DG177" s="95"/>
      <c r="DH177" s="95"/>
      <c r="DI177" s="95"/>
      <c r="DJ177" s="95"/>
      <c r="DK177" s="95"/>
      <c r="DL177" s="95"/>
      <c r="DM177" s="95"/>
      <c r="DN177" s="95"/>
      <c r="DO177" s="95"/>
      <c r="DP177" s="95"/>
      <c r="DQ177" s="95"/>
      <c r="DR177" s="95"/>
      <c r="DS177" s="95"/>
      <c r="DT177" s="95"/>
      <c r="DU177" s="95"/>
      <c r="DV177" s="95"/>
      <c r="DW177" s="95"/>
      <c r="DX177" s="95"/>
      <c r="DY177" s="95"/>
      <c r="DZ177" s="95"/>
      <c r="EA177" s="95"/>
      <c r="EB177" s="95"/>
      <c r="EC177" s="95"/>
      <c r="ED177" s="95"/>
      <c r="EE177" s="95"/>
      <c r="EF177" s="95"/>
      <c r="EG177" s="95"/>
      <c r="EH177" s="95"/>
      <c r="EI177" s="95"/>
      <c r="EJ177" s="95"/>
      <c r="EK177" s="95"/>
      <c r="EL177" s="95"/>
      <c r="EM177" s="95"/>
      <c r="EN177" s="95"/>
      <c r="EO177" s="95"/>
      <c r="EP177" s="95"/>
      <c r="EQ177" s="95"/>
      <c r="ER177" s="95"/>
      <c r="ES177" s="95"/>
      <c r="ET177" s="95"/>
      <c r="EU177" s="95"/>
      <c r="EV177" s="95"/>
      <c r="EW177" s="95"/>
      <c r="EX177" s="95"/>
      <c r="EY177" s="95"/>
      <c r="EZ177" s="95"/>
      <c r="FA177" s="95"/>
      <c r="FB177" s="95"/>
      <c r="FC177" s="95"/>
      <c r="FD177" s="95"/>
      <c r="FE177" s="95"/>
      <c r="FF177" s="95"/>
      <c r="FG177" s="95"/>
      <c r="FH177" s="95"/>
      <c r="FI177" s="95"/>
      <c r="FJ177" s="95"/>
      <c r="FK177" s="95"/>
      <c r="FL177" s="95"/>
      <c r="FM177" s="95"/>
      <c r="FN177" s="95"/>
      <c r="FO177" s="95"/>
      <c r="FP177" s="95"/>
      <c r="FQ177" s="95"/>
      <c r="FR177" s="95"/>
      <c r="FS177" s="95"/>
      <c r="FT177" s="95"/>
      <c r="FU177" s="95"/>
      <c r="FV177" s="95"/>
      <c r="FW177" s="95"/>
      <c r="FX177" s="95"/>
      <c r="FY177" s="95"/>
      <c r="FZ177" s="95"/>
      <c r="GA177" s="95"/>
      <c r="GB177" s="95"/>
      <c r="GC177" s="95"/>
      <c r="GD177" s="95"/>
      <c r="GE177" s="95"/>
      <c r="GF177" s="95"/>
      <c r="GG177" s="95"/>
      <c r="GH177" s="95"/>
      <c r="GI177" s="95"/>
      <c r="GJ177" s="95"/>
      <c r="GK177" s="95"/>
      <c r="GL177" s="95"/>
      <c r="GM177" s="95"/>
      <c r="GN177" s="95"/>
      <c r="GO177" s="95"/>
      <c r="GP177" s="95"/>
      <c r="GQ177" s="95"/>
      <c r="GR177" s="95"/>
      <c r="GS177" s="95"/>
      <c r="GT177" s="95"/>
      <c r="GU177" s="95"/>
      <c r="GV177" s="95"/>
      <c r="GW177" s="95"/>
      <c r="GX177" s="95"/>
      <c r="GY177" s="95"/>
    </row>
    <row r="178" spans="1:207" s="31" customFormat="1" ht="28.5" x14ac:dyDescent="0.45">
      <c r="A178" s="31" t="s">
        <v>44</v>
      </c>
      <c r="B178" s="31" t="s">
        <v>70</v>
      </c>
      <c r="C178" s="32" t="s">
        <v>47</v>
      </c>
      <c r="D178" s="31" t="s">
        <v>32</v>
      </c>
      <c r="E178" s="49">
        <v>1.214187591372431E-2</v>
      </c>
      <c r="F178" s="50">
        <v>4.4338708199796991E-3</v>
      </c>
      <c r="G178" s="50">
        <v>2.0276261129433894E-2</v>
      </c>
      <c r="H178" s="32" t="s">
        <v>46</v>
      </c>
      <c r="I178" s="31" t="s">
        <v>32</v>
      </c>
      <c r="J178" s="32" t="s">
        <v>41</v>
      </c>
      <c r="K178" s="31" t="s">
        <v>34</v>
      </c>
      <c r="L178" s="32" t="s">
        <v>45</v>
      </c>
      <c r="M178" s="31" t="s">
        <v>32</v>
      </c>
      <c r="N178" s="32" t="s">
        <v>35</v>
      </c>
      <c r="O178" s="110" t="s">
        <v>37</v>
      </c>
      <c r="P178" s="108"/>
      <c r="Q178" s="34"/>
      <c r="R178" s="105" t="s">
        <v>201</v>
      </c>
      <c r="X178" s="95"/>
      <c r="Y178" s="95"/>
      <c r="Z178" s="95"/>
      <c r="AA178" s="95"/>
      <c r="AB178" s="95"/>
      <c r="AC178" s="95"/>
      <c r="AD178" s="95"/>
      <c r="AE178" s="95"/>
      <c r="AF178" s="95"/>
      <c r="AG178" s="95"/>
      <c r="AH178" s="95"/>
      <c r="AI178" s="95"/>
      <c r="AJ178" s="95"/>
      <c r="AK178" s="95"/>
      <c r="AL178" s="95"/>
      <c r="AM178" s="95"/>
      <c r="AN178" s="95"/>
      <c r="AO178" s="95"/>
      <c r="AP178" s="95"/>
      <c r="AQ178" s="95"/>
      <c r="AR178" s="95"/>
      <c r="AS178" s="95"/>
      <c r="AT178" s="95"/>
      <c r="AU178" s="95"/>
      <c r="AV178" s="95"/>
      <c r="AW178" s="95"/>
      <c r="AX178" s="95"/>
      <c r="AY178" s="95"/>
      <c r="AZ178" s="95"/>
      <c r="BA178" s="95"/>
      <c r="BB178" s="95"/>
      <c r="BC178" s="95"/>
      <c r="BD178" s="95"/>
      <c r="BE178" s="95"/>
      <c r="BF178" s="95"/>
      <c r="BG178" s="95"/>
      <c r="BH178" s="95"/>
      <c r="BI178" s="95"/>
      <c r="BJ178" s="95"/>
      <c r="BK178" s="95"/>
      <c r="BL178" s="95"/>
      <c r="BM178" s="95"/>
      <c r="BN178" s="95"/>
      <c r="BO178" s="95"/>
      <c r="BP178" s="95"/>
      <c r="BQ178" s="95"/>
      <c r="BR178" s="95"/>
      <c r="BS178" s="95"/>
      <c r="BT178" s="95"/>
      <c r="BU178" s="95"/>
      <c r="BV178" s="95"/>
      <c r="BW178" s="95"/>
      <c r="BX178" s="95"/>
      <c r="BY178" s="95"/>
      <c r="BZ178" s="95"/>
      <c r="CA178" s="95"/>
      <c r="CB178" s="95"/>
      <c r="CC178" s="95"/>
      <c r="CD178" s="95"/>
      <c r="CE178" s="95"/>
      <c r="CF178" s="95"/>
      <c r="CG178" s="95"/>
      <c r="CH178" s="95"/>
      <c r="CI178" s="95"/>
      <c r="CJ178" s="95"/>
      <c r="CK178" s="95"/>
      <c r="CL178" s="95"/>
      <c r="CM178" s="95"/>
      <c r="CN178" s="95"/>
      <c r="CO178" s="95"/>
      <c r="CP178" s="95"/>
      <c r="CQ178" s="95"/>
      <c r="CR178" s="95"/>
      <c r="CS178" s="95"/>
      <c r="CT178" s="95"/>
      <c r="CU178" s="95"/>
      <c r="CV178" s="95"/>
      <c r="CW178" s="95"/>
      <c r="CX178" s="95"/>
      <c r="CY178" s="95"/>
      <c r="CZ178" s="95"/>
      <c r="DA178" s="95"/>
      <c r="DB178" s="95"/>
      <c r="DC178" s="95"/>
      <c r="DD178" s="95"/>
      <c r="DE178" s="95"/>
      <c r="DF178" s="95"/>
      <c r="DG178" s="95"/>
      <c r="DH178" s="95"/>
      <c r="DI178" s="95"/>
      <c r="DJ178" s="95"/>
      <c r="DK178" s="95"/>
      <c r="DL178" s="95"/>
      <c r="DM178" s="95"/>
      <c r="DN178" s="95"/>
      <c r="DO178" s="95"/>
      <c r="DP178" s="95"/>
      <c r="DQ178" s="95"/>
      <c r="DR178" s="95"/>
      <c r="DS178" s="95"/>
      <c r="DT178" s="95"/>
      <c r="DU178" s="95"/>
      <c r="DV178" s="95"/>
      <c r="DW178" s="95"/>
      <c r="DX178" s="95"/>
      <c r="DY178" s="95"/>
      <c r="DZ178" s="95"/>
      <c r="EA178" s="95"/>
      <c r="EB178" s="95"/>
      <c r="EC178" s="95"/>
      <c r="ED178" s="95"/>
      <c r="EE178" s="95"/>
      <c r="EF178" s="95"/>
      <c r="EG178" s="95"/>
      <c r="EH178" s="95"/>
      <c r="EI178" s="95"/>
      <c r="EJ178" s="95"/>
      <c r="EK178" s="95"/>
      <c r="EL178" s="95"/>
      <c r="EM178" s="95"/>
      <c r="EN178" s="95"/>
      <c r="EO178" s="95"/>
      <c r="EP178" s="95"/>
      <c r="EQ178" s="95"/>
      <c r="ER178" s="95"/>
      <c r="ES178" s="95"/>
      <c r="ET178" s="95"/>
      <c r="EU178" s="95"/>
      <c r="EV178" s="95"/>
      <c r="EW178" s="95"/>
      <c r="EX178" s="95"/>
      <c r="EY178" s="95"/>
      <c r="EZ178" s="95"/>
      <c r="FA178" s="95"/>
      <c r="FB178" s="95"/>
      <c r="FC178" s="95"/>
      <c r="FD178" s="95"/>
      <c r="FE178" s="95"/>
      <c r="FF178" s="95"/>
      <c r="FG178" s="95"/>
      <c r="FH178" s="95"/>
      <c r="FI178" s="95"/>
      <c r="FJ178" s="95"/>
      <c r="FK178" s="95"/>
      <c r="FL178" s="95"/>
      <c r="FM178" s="95"/>
      <c r="FN178" s="95"/>
      <c r="FO178" s="95"/>
      <c r="FP178" s="95"/>
      <c r="FQ178" s="95"/>
      <c r="FR178" s="95"/>
      <c r="FS178" s="95"/>
      <c r="FT178" s="95"/>
      <c r="FU178" s="95"/>
      <c r="FV178" s="95"/>
      <c r="FW178" s="95"/>
      <c r="FX178" s="95"/>
      <c r="FY178" s="95"/>
      <c r="FZ178" s="95"/>
      <c r="GA178" s="95"/>
      <c r="GB178" s="95"/>
      <c r="GC178" s="95"/>
      <c r="GD178" s="95"/>
      <c r="GE178" s="95"/>
      <c r="GF178" s="95"/>
      <c r="GG178" s="95"/>
      <c r="GH178" s="95"/>
      <c r="GI178" s="95"/>
      <c r="GJ178" s="95"/>
      <c r="GK178" s="95"/>
      <c r="GL178" s="95"/>
      <c r="GM178" s="95"/>
      <c r="GN178" s="95"/>
      <c r="GO178" s="95"/>
      <c r="GP178" s="95"/>
      <c r="GQ178" s="95"/>
      <c r="GR178" s="95"/>
      <c r="GS178" s="95"/>
      <c r="GT178" s="95"/>
      <c r="GU178" s="95"/>
      <c r="GV178" s="95"/>
      <c r="GW178" s="95"/>
      <c r="GX178" s="95"/>
      <c r="GY178" s="95"/>
    </row>
    <row r="179" spans="1:207" s="31" customFormat="1" ht="28.5" x14ac:dyDescent="0.45">
      <c r="A179" s="31" t="s">
        <v>44</v>
      </c>
      <c r="B179" s="31" t="s">
        <v>70</v>
      </c>
      <c r="C179" s="32" t="s">
        <v>47</v>
      </c>
      <c r="D179" s="31" t="s">
        <v>32</v>
      </c>
      <c r="E179" s="49">
        <v>0.15177344892155387</v>
      </c>
      <c r="F179" s="33">
        <v>0.1477956939993233</v>
      </c>
      <c r="G179" s="33">
        <v>0.1559712394571838</v>
      </c>
      <c r="H179" s="32" t="s">
        <v>46</v>
      </c>
      <c r="I179" s="31" t="s">
        <v>34</v>
      </c>
      <c r="J179" s="32" t="s">
        <v>41</v>
      </c>
      <c r="K179" s="31" t="s">
        <v>34</v>
      </c>
      <c r="L179" s="32" t="s">
        <v>45</v>
      </c>
      <c r="M179" s="31" t="s">
        <v>32</v>
      </c>
      <c r="N179" s="32" t="s">
        <v>35</v>
      </c>
      <c r="O179" s="110" t="s">
        <v>37</v>
      </c>
      <c r="P179" s="108"/>
      <c r="Q179" s="34"/>
      <c r="R179" s="105" t="s">
        <v>201</v>
      </c>
      <c r="X179" s="95"/>
      <c r="Y179" s="95"/>
      <c r="Z179" s="95"/>
      <c r="AA179" s="95"/>
      <c r="AB179" s="95"/>
      <c r="AC179" s="95"/>
      <c r="AD179" s="95"/>
      <c r="AE179" s="95"/>
      <c r="AF179" s="95"/>
      <c r="AG179" s="95"/>
      <c r="AH179" s="95"/>
      <c r="AI179" s="95"/>
      <c r="AJ179" s="95"/>
      <c r="AK179" s="95"/>
      <c r="AL179" s="95"/>
      <c r="AM179" s="95"/>
      <c r="AN179" s="95"/>
      <c r="AO179" s="95"/>
      <c r="AP179" s="95"/>
      <c r="AQ179" s="95"/>
      <c r="AR179" s="95"/>
      <c r="AS179" s="95"/>
      <c r="AT179" s="95"/>
      <c r="AU179" s="95"/>
      <c r="AV179" s="95"/>
      <c r="AW179" s="95"/>
      <c r="AX179" s="95"/>
      <c r="AY179" s="95"/>
      <c r="AZ179" s="95"/>
      <c r="BA179" s="95"/>
      <c r="BB179" s="95"/>
      <c r="BC179" s="95"/>
      <c r="BD179" s="95"/>
      <c r="BE179" s="95"/>
      <c r="BF179" s="95"/>
      <c r="BG179" s="95"/>
      <c r="BH179" s="95"/>
      <c r="BI179" s="95"/>
      <c r="BJ179" s="95"/>
      <c r="BK179" s="95"/>
      <c r="BL179" s="95"/>
      <c r="BM179" s="95"/>
      <c r="BN179" s="95"/>
      <c r="BO179" s="95"/>
      <c r="BP179" s="95"/>
      <c r="BQ179" s="95"/>
      <c r="BR179" s="95"/>
      <c r="BS179" s="95"/>
      <c r="BT179" s="95"/>
      <c r="BU179" s="95"/>
      <c r="BV179" s="95"/>
      <c r="BW179" s="95"/>
      <c r="BX179" s="95"/>
      <c r="BY179" s="95"/>
      <c r="BZ179" s="95"/>
      <c r="CA179" s="95"/>
      <c r="CB179" s="95"/>
      <c r="CC179" s="95"/>
      <c r="CD179" s="95"/>
      <c r="CE179" s="95"/>
      <c r="CF179" s="95"/>
      <c r="CG179" s="95"/>
      <c r="CH179" s="95"/>
      <c r="CI179" s="95"/>
      <c r="CJ179" s="95"/>
      <c r="CK179" s="95"/>
      <c r="CL179" s="95"/>
      <c r="CM179" s="95"/>
      <c r="CN179" s="95"/>
      <c r="CO179" s="95"/>
      <c r="CP179" s="95"/>
      <c r="CQ179" s="95"/>
      <c r="CR179" s="95"/>
      <c r="CS179" s="95"/>
      <c r="CT179" s="95"/>
      <c r="CU179" s="95"/>
      <c r="CV179" s="95"/>
      <c r="CW179" s="95"/>
      <c r="CX179" s="95"/>
      <c r="CY179" s="95"/>
      <c r="CZ179" s="95"/>
      <c r="DA179" s="95"/>
      <c r="DB179" s="95"/>
      <c r="DC179" s="95"/>
      <c r="DD179" s="95"/>
      <c r="DE179" s="95"/>
      <c r="DF179" s="95"/>
      <c r="DG179" s="95"/>
      <c r="DH179" s="95"/>
      <c r="DI179" s="95"/>
      <c r="DJ179" s="95"/>
      <c r="DK179" s="95"/>
      <c r="DL179" s="95"/>
      <c r="DM179" s="95"/>
      <c r="DN179" s="95"/>
      <c r="DO179" s="95"/>
      <c r="DP179" s="95"/>
      <c r="DQ179" s="95"/>
      <c r="DR179" s="95"/>
      <c r="DS179" s="95"/>
      <c r="DT179" s="95"/>
      <c r="DU179" s="95"/>
      <c r="DV179" s="95"/>
      <c r="DW179" s="95"/>
      <c r="DX179" s="95"/>
      <c r="DY179" s="95"/>
      <c r="DZ179" s="95"/>
      <c r="EA179" s="95"/>
      <c r="EB179" s="95"/>
      <c r="EC179" s="95"/>
      <c r="ED179" s="95"/>
      <c r="EE179" s="95"/>
      <c r="EF179" s="95"/>
      <c r="EG179" s="95"/>
      <c r="EH179" s="95"/>
      <c r="EI179" s="95"/>
      <c r="EJ179" s="95"/>
      <c r="EK179" s="95"/>
      <c r="EL179" s="95"/>
      <c r="EM179" s="95"/>
      <c r="EN179" s="95"/>
      <c r="EO179" s="95"/>
      <c r="EP179" s="95"/>
      <c r="EQ179" s="95"/>
      <c r="ER179" s="95"/>
      <c r="ES179" s="95"/>
      <c r="ET179" s="95"/>
      <c r="EU179" s="95"/>
      <c r="EV179" s="95"/>
      <c r="EW179" s="95"/>
      <c r="EX179" s="95"/>
      <c r="EY179" s="95"/>
      <c r="EZ179" s="95"/>
      <c r="FA179" s="95"/>
      <c r="FB179" s="95"/>
      <c r="FC179" s="95"/>
      <c r="FD179" s="95"/>
      <c r="FE179" s="95"/>
      <c r="FF179" s="95"/>
      <c r="FG179" s="95"/>
      <c r="FH179" s="95"/>
      <c r="FI179" s="95"/>
      <c r="FJ179" s="95"/>
      <c r="FK179" s="95"/>
      <c r="FL179" s="95"/>
      <c r="FM179" s="95"/>
      <c r="FN179" s="95"/>
      <c r="FO179" s="95"/>
      <c r="FP179" s="95"/>
      <c r="FQ179" s="95"/>
      <c r="FR179" s="95"/>
      <c r="FS179" s="95"/>
      <c r="FT179" s="95"/>
      <c r="FU179" s="95"/>
      <c r="FV179" s="95"/>
      <c r="FW179" s="95"/>
      <c r="FX179" s="95"/>
      <c r="FY179" s="95"/>
      <c r="FZ179" s="95"/>
      <c r="GA179" s="95"/>
      <c r="GB179" s="95"/>
      <c r="GC179" s="95"/>
      <c r="GD179" s="95"/>
      <c r="GE179" s="95"/>
      <c r="GF179" s="95"/>
      <c r="GG179" s="95"/>
      <c r="GH179" s="95"/>
      <c r="GI179" s="95"/>
      <c r="GJ179" s="95"/>
      <c r="GK179" s="95"/>
      <c r="GL179" s="95"/>
      <c r="GM179" s="95"/>
      <c r="GN179" s="95"/>
      <c r="GO179" s="95"/>
      <c r="GP179" s="95"/>
      <c r="GQ179" s="95"/>
      <c r="GR179" s="95"/>
      <c r="GS179" s="95"/>
      <c r="GT179" s="95"/>
      <c r="GU179" s="95"/>
      <c r="GV179" s="95"/>
      <c r="GW179" s="95"/>
      <c r="GX179" s="95"/>
      <c r="GY179" s="95"/>
    </row>
    <row r="180" spans="1:207" x14ac:dyDescent="0.45">
      <c r="A180" t="s">
        <v>44</v>
      </c>
      <c r="B180" t="s">
        <v>70</v>
      </c>
      <c r="C180" s="2" t="s">
        <v>47</v>
      </c>
      <c r="D180" t="s">
        <v>32</v>
      </c>
      <c r="E180" s="21">
        <v>0</v>
      </c>
      <c r="F180" s="21">
        <v>0</v>
      </c>
      <c r="G180" s="21">
        <v>0</v>
      </c>
      <c r="H180" s="2" t="s">
        <v>46</v>
      </c>
      <c r="I180" t="s">
        <v>32</v>
      </c>
      <c r="J180" s="2" t="s">
        <v>41</v>
      </c>
      <c r="K180" t="s">
        <v>32</v>
      </c>
      <c r="L180" s="2" t="s">
        <v>45</v>
      </c>
      <c r="M180" t="s">
        <v>34</v>
      </c>
      <c r="N180" s="2" t="s">
        <v>35</v>
      </c>
      <c r="O180" s="109" t="s">
        <v>37</v>
      </c>
      <c r="P180" s="107"/>
      <c r="Q180" s="4"/>
      <c r="R180" s="97"/>
    </row>
    <row r="181" spans="1:207" x14ac:dyDescent="0.45">
      <c r="A181" t="s">
        <v>44</v>
      </c>
      <c r="B181" t="s">
        <v>70</v>
      </c>
      <c r="C181" s="2" t="s">
        <v>47</v>
      </c>
      <c r="D181" t="s">
        <v>32</v>
      </c>
      <c r="E181" s="21">
        <v>0</v>
      </c>
      <c r="F181" s="21">
        <v>0</v>
      </c>
      <c r="G181" s="21">
        <v>0</v>
      </c>
      <c r="H181" s="2" t="s">
        <v>46</v>
      </c>
      <c r="I181" t="s">
        <v>34</v>
      </c>
      <c r="J181" s="2" t="s">
        <v>41</v>
      </c>
      <c r="K181" t="s">
        <v>32</v>
      </c>
      <c r="L181" s="2" t="s">
        <v>45</v>
      </c>
      <c r="M181" t="s">
        <v>34</v>
      </c>
      <c r="N181" s="2" t="s">
        <v>35</v>
      </c>
      <c r="O181" s="109" t="s">
        <v>37</v>
      </c>
      <c r="P181" s="107"/>
      <c r="Q181" s="4"/>
      <c r="R181" s="97"/>
    </row>
    <row r="182" spans="1:207" x14ac:dyDescent="0.45">
      <c r="A182" t="s">
        <v>44</v>
      </c>
      <c r="B182" t="s">
        <v>70</v>
      </c>
      <c r="C182" s="2" t="s">
        <v>47</v>
      </c>
      <c r="D182" t="s">
        <v>32</v>
      </c>
      <c r="E182" s="21">
        <v>0</v>
      </c>
      <c r="F182" s="21">
        <v>0</v>
      </c>
      <c r="G182" s="21">
        <v>0</v>
      </c>
      <c r="H182" s="2" t="s">
        <v>46</v>
      </c>
      <c r="I182" t="s">
        <v>32</v>
      </c>
      <c r="J182" s="2" t="s">
        <v>41</v>
      </c>
      <c r="K182" t="s">
        <v>34</v>
      </c>
      <c r="L182" s="2" t="s">
        <v>45</v>
      </c>
      <c r="M182" t="s">
        <v>34</v>
      </c>
      <c r="N182" s="2" t="s">
        <v>35</v>
      </c>
      <c r="O182" s="109" t="s">
        <v>37</v>
      </c>
      <c r="P182" s="107"/>
      <c r="Q182" s="4"/>
      <c r="R182" s="97"/>
    </row>
    <row r="183" spans="1:207" x14ac:dyDescent="0.45">
      <c r="A183" t="s">
        <v>44</v>
      </c>
      <c r="B183" t="s">
        <v>70</v>
      </c>
      <c r="C183" s="2" t="s">
        <v>47</v>
      </c>
      <c r="D183" t="s">
        <v>32</v>
      </c>
      <c r="E183" s="21">
        <v>0</v>
      </c>
      <c r="F183" s="21">
        <v>0</v>
      </c>
      <c r="G183" s="21">
        <v>0</v>
      </c>
      <c r="H183" s="2" t="s">
        <v>46</v>
      </c>
      <c r="I183" t="s">
        <v>34</v>
      </c>
      <c r="J183" s="2" t="s">
        <v>41</v>
      </c>
      <c r="K183" t="s">
        <v>34</v>
      </c>
      <c r="L183" s="2" t="s">
        <v>45</v>
      </c>
      <c r="M183" t="s">
        <v>34</v>
      </c>
      <c r="N183" s="2" t="s">
        <v>35</v>
      </c>
      <c r="O183" s="109" t="s">
        <v>37</v>
      </c>
      <c r="P183" s="107"/>
      <c r="Q183" s="4"/>
      <c r="R183" s="97"/>
    </row>
    <row r="184" spans="1:207" s="31" customFormat="1" ht="28.5" x14ac:dyDescent="0.45">
      <c r="A184" s="31" t="s">
        <v>44</v>
      </c>
      <c r="B184" s="31" t="s">
        <v>70</v>
      </c>
      <c r="C184" s="32" t="s">
        <v>47</v>
      </c>
      <c r="D184" s="31" t="s">
        <v>32</v>
      </c>
      <c r="E184" s="49">
        <v>1.214187591372431E-2</v>
      </c>
      <c r="F184" s="50">
        <v>4.4338708199796991E-3</v>
      </c>
      <c r="G184" s="50">
        <v>2.0276261129433894E-2</v>
      </c>
      <c r="H184" s="32" t="s">
        <v>46</v>
      </c>
      <c r="I184" s="31" t="s">
        <v>32</v>
      </c>
      <c r="J184" s="32" t="s">
        <v>41</v>
      </c>
      <c r="K184" s="31" t="s">
        <v>32</v>
      </c>
      <c r="L184" s="32" t="s">
        <v>45</v>
      </c>
      <c r="M184" s="31" t="s">
        <v>32</v>
      </c>
      <c r="N184" s="32" t="s">
        <v>35</v>
      </c>
      <c r="O184" s="110" t="s">
        <v>38</v>
      </c>
      <c r="P184" s="108"/>
      <c r="Q184" s="34"/>
      <c r="R184" s="105" t="s">
        <v>201</v>
      </c>
      <c r="X184" s="95"/>
      <c r="Y184" s="95"/>
      <c r="Z184" s="95"/>
      <c r="AA184" s="95"/>
      <c r="AB184" s="95"/>
      <c r="AC184" s="95"/>
      <c r="AD184" s="95"/>
      <c r="AE184" s="95"/>
      <c r="AF184" s="95"/>
      <c r="AG184" s="95"/>
      <c r="AH184" s="95"/>
      <c r="AI184" s="95"/>
      <c r="AJ184" s="95"/>
      <c r="AK184" s="95"/>
      <c r="AL184" s="95"/>
      <c r="AM184" s="95"/>
      <c r="AN184" s="95"/>
      <c r="AO184" s="95"/>
      <c r="AP184" s="95"/>
      <c r="AQ184" s="95"/>
      <c r="AR184" s="95"/>
      <c r="AS184" s="95"/>
      <c r="AT184" s="95"/>
      <c r="AU184" s="95"/>
      <c r="AV184" s="95"/>
      <c r="AW184" s="95"/>
      <c r="AX184" s="95"/>
      <c r="AY184" s="95"/>
      <c r="AZ184" s="95"/>
      <c r="BA184" s="95"/>
      <c r="BB184" s="95"/>
      <c r="BC184" s="95"/>
      <c r="BD184" s="95"/>
      <c r="BE184" s="95"/>
      <c r="BF184" s="95"/>
      <c r="BG184" s="95"/>
      <c r="BH184" s="95"/>
      <c r="BI184" s="95"/>
      <c r="BJ184" s="95"/>
      <c r="BK184" s="95"/>
      <c r="BL184" s="95"/>
      <c r="BM184" s="95"/>
      <c r="BN184" s="95"/>
      <c r="BO184" s="95"/>
      <c r="BP184" s="95"/>
      <c r="BQ184" s="95"/>
      <c r="BR184" s="95"/>
      <c r="BS184" s="95"/>
      <c r="BT184" s="95"/>
      <c r="BU184" s="95"/>
      <c r="BV184" s="95"/>
      <c r="BW184" s="95"/>
      <c r="BX184" s="95"/>
      <c r="BY184" s="95"/>
      <c r="BZ184" s="95"/>
      <c r="CA184" s="95"/>
      <c r="CB184" s="95"/>
      <c r="CC184" s="95"/>
      <c r="CD184" s="95"/>
      <c r="CE184" s="95"/>
      <c r="CF184" s="95"/>
      <c r="CG184" s="95"/>
      <c r="CH184" s="95"/>
      <c r="CI184" s="95"/>
      <c r="CJ184" s="95"/>
      <c r="CK184" s="95"/>
      <c r="CL184" s="95"/>
      <c r="CM184" s="95"/>
      <c r="CN184" s="95"/>
      <c r="CO184" s="95"/>
      <c r="CP184" s="95"/>
      <c r="CQ184" s="95"/>
      <c r="CR184" s="95"/>
      <c r="CS184" s="95"/>
      <c r="CT184" s="95"/>
      <c r="CU184" s="95"/>
      <c r="CV184" s="95"/>
      <c r="CW184" s="95"/>
      <c r="CX184" s="95"/>
      <c r="CY184" s="95"/>
      <c r="CZ184" s="95"/>
      <c r="DA184" s="95"/>
      <c r="DB184" s="95"/>
      <c r="DC184" s="95"/>
      <c r="DD184" s="95"/>
      <c r="DE184" s="95"/>
      <c r="DF184" s="95"/>
      <c r="DG184" s="95"/>
      <c r="DH184" s="95"/>
      <c r="DI184" s="95"/>
      <c r="DJ184" s="95"/>
      <c r="DK184" s="95"/>
      <c r="DL184" s="95"/>
      <c r="DM184" s="95"/>
      <c r="DN184" s="95"/>
      <c r="DO184" s="95"/>
      <c r="DP184" s="95"/>
      <c r="DQ184" s="95"/>
      <c r="DR184" s="95"/>
      <c r="DS184" s="95"/>
      <c r="DT184" s="95"/>
      <c r="DU184" s="95"/>
      <c r="DV184" s="95"/>
      <c r="DW184" s="95"/>
      <c r="DX184" s="95"/>
      <c r="DY184" s="95"/>
      <c r="DZ184" s="95"/>
      <c r="EA184" s="95"/>
      <c r="EB184" s="95"/>
      <c r="EC184" s="95"/>
      <c r="ED184" s="95"/>
      <c r="EE184" s="95"/>
      <c r="EF184" s="95"/>
      <c r="EG184" s="95"/>
      <c r="EH184" s="95"/>
      <c r="EI184" s="95"/>
      <c r="EJ184" s="95"/>
      <c r="EK184" s="95"/>
      <c r="EL184" s="95"/>
      <c r="EM184" s="95"/>
      <c r="EN184" s="95"/>
      <c r="EO184" s="95"/>
      <c r="EP184" s="95"/>
      <c r="EQ184" s="95"/>
      <c r="ER184" s="95"/>
      <c r="ES184" s="95"/>
      <c r="ET184" s="95"/>
      <c r="EU184" s="95"/>
      <c r="EV184" s="95"/>
      <c r="EW184" s="95"/>
      <c r="EX184" s="95"/>
      <c r="EY184" s="95"/>
      <c r="EZ184" s="95"/>
      <c r="FA184" s="95"/>
      <c r="FB184" s="95"/>
      <c r="FC184" s="95"/>
      <c r="FD184" s="95"/>
      <c r="FE184" s="95"/>
      <c r="FF184" s="95"/>
      <c r="FG184" s="95"/>
      <c r="FH184" s="95"/>
      <c r="FI184" s="95"/>
      <c r="FJ184" s="95"/>
      <c r="FK184" s="95"/>
      <c r="FL184" s="95"/>
      <c r="FM184" s="95"/>
      <c r="FN184" s="95"/>
      <c r="FO184" s="95"/>
      <c r="FP184" s="95"/>
      <c r="FQ184" s="95"/>
      <c r="FR184" s="95"/>
      <c r="FS184" s="95"/>
      <c r="FT184" s="95"/>
      <c r="FU184" s="95"/>
      <c r="FV184" s="95"/>
      <c r="FW184" s="95"/>
      <c r="FX184" s="95"/>
      <c r="FY184" s="95"/>
      <c r="FZ184" s="95"/>
      <c r="GA184" s="95"/>
      <c r="GB184" s="95"/>
      <c r="GC184" s="95"/>
      <c r="GD184" s="95"/>
      <c r="GE184" s="95"/>
      <c r="GF184" s="95"/>
      <c r="GG184" s="95"/>
      <c r="GH184" s="95"/>
      <c r="GI184" s="95"/>
      <c r="GJ184" s="95"/>
      <c r="GK184" s="95"/>
      <c r="GL184" s="95"/>
      <c r="GM184" s="95"/>
      <c r="GN184" s="95"/>
      <c r="GO184" s="95"/>
      <c r="GP184" s="95"/>
      <c r="GQ184" s="95"/>
      <c r="GR184" s="95"/>
      <c r="GS184" s="95"/>
      <c r="GT184" s="95"/>
      <c r="GU184" s="95"/>
      <c r="GV184" s="95"/>
      <c r="GW184" s="95"/>
      <c r="GX184" s="95"/>
      <c r="GY184" s="95"/>
    </row>
    <row r="185" spans="1:207" s="31" customFormat="1" ht="28.5" x14ac:dyDescent="0.45">
      <c r="A185" s="31" t="s">
        <v>44</v>
      </c>
      <c r="B185" s="31" t="s">
        <v>70</v>
      </c>
      <c r="C185" s="32" t="s">
        <v>47</v>
      </c>
      <c r="D185" s="31" t="s">
        <v>32</v>
      </c>
      <c r="E185" s="49">
        <v>0.15177344892155387</v>
      </c>
      <c r="F185" s="33">
        <v>0.1477956939993233</v>
      </c>
      <c r="G185" s="33">
        <v>0.1559712394571838</v>
      </c>
      <c r="H185" s="32" t="s">
        <v>46</v>
      </c>
      <c r="I185" s="31" t="s">
        <v>34</v>
      </c>
      <c r="J185" s="32" t="s">
        <v>41</v>
      </c>
      <c r="K185" s="31" t="s">
        <v>32</v>
      </c>
      <c r="L185" s="32" t="s">
        <v>45</v>
      </c>
      <c r="M185" s="31" t="s">
        <v>32</v>
      </c>
      <c r="N185" s="32" t="s">
        <v>35</v>
      </c>
      <c r="O185" s="110" t="s">
        <v>38</v>
      </c>
      <c r="P185" s="108"/>
      <c r="Q185" s="34"/>
      <c r="R185" s="105" t="s">
        <v>201</v>
      </c>
      <c r="X185" s="95"/>
      <c r="Y185" s="95"/>
      <c r="Z185" s="95"/>
      <c r="AA185" s="95"/>
      <c r="AB185" s="95"/>
      <c r="AC185" s="95"/>
      <c r="AD185" s="95"/>
      <c r="AE185" s="95"/>
      <c r="AF185" s="95"/>
      <c r="AG185" s="95"/>
      <c r="AH185" s="95"/>
      <c r="AI185" s="95"/>
      <c r="AJ185" s="95"/>
      <c r="AK185" s="95"/>
      <c r="AL185" s="95"/>
      <c r="AM185" s="95"/>
      <c r="AN185" s="95"/>
      <c r="AO185" s="95"/>
      <c r="AP185" s="95"/>
      <c r="AQ185" s="95"/>
      <c r="AR185" s="95"/>
      <c r="AS185" s="95"/>
      <c r="AT185" s="95"/>
      <c r="AU185" s="95"/>
      <c r="AV185" s="95"/>
      <c r="AW185" s="95"/>
      <c r="AX185" s="95"/>
      <c r="AY185" s="95"/>
      <c r="AZ185" s="95"/>
      <c r="BA185" s="95"/>
      <c r="BB185" s="95"/>
      <c r="BC185" s="95"/>
      <c r="BD185" s="95"/>
      <c r="BE185" s="95"/>
      <c r="BF185" s="95"/>
      <c r="BG185" s="95"/>
      <c r="BH185" s="95"/>
      <c r="BI185" s="95"/>
      <c r="BJ185" s="95"/>
      <c r="BK185" s="95"/>
      <c r="BL185" s="95"/>
      <c r="BM185" s="95"/>
      <c r="BN185" s="95"/>
      <c r="BO185" s="95"/>
      <c r="BP185" s="95"/>
      <c r="BQ185" s="95"/>
      <c r="BR185" s="95"/>
      <c r="BS185" s="95"/>
      <c r="BT185" s="95"/>
      <c r="BU185" s="95"/>
      <c r="BV185" s="95"/>
      <c r="BW185" s="95"/>
      <c r="BX185" s="95"/>
      <c r="BY185" s="95"/>
      <c r="BZ185" s="95"/>
      <c r="CA185" s="95"/>
      <c r="CB185" s="95"/>
      <c r="CC185" s="95"/>
      <c r="CD185" s="95"/>
      <c r="CE185" s="95"/>
      <c r="CF185" s="95"/>
      <c r="CG185" s="95"/>
      <c r="CH185" s="95"/>
      <c r="CI185" s="95"/>
      <c r="CJ185" s="95"/>
      <c r="CK185" s="95"/>
      <c r="CL185" s="95"/>
      <c r="CM185" s="95"/>
      <c r="CN185" s="95"/>
      <c r="CO185" s="95"/>
      <c r="CP185" s="95"/>
      <c r="CQ185" s="95"/>
      <c r="CR185" s="95"/>
      <c r="CS185" s="95"/>
      <c r="CT185" s="95"/>
      <c r="CU185" s="95"/>
      <c r="CV185" s="95"/>
      <c r="CW185" s="95"/>
      <c r="CX185" s="95"/>
      <c r="CY185" s="95"/>
      <c r="CZ185" s="95"/>
      <c r="DA185" s="95"/>
      <c r="DB185" s="95"/>
      <c r="DC185" s="95"/>
      <c r="DD185" s="95"/>
      <c r="DE185" s="95"/>
      <c r="DF185" s="95"/>
      <c r="DG185" s="95"/>
      <c r="DH185" s="95"/>
      <c r="DI185" s="95"/>
      <c r="DJ185" s="95"/>
      <c r="DK185" s="95"/>
      <c r="DL185" s="95"/>
      <c r="DM185" s="95"/>
      <c r="DN185" s="95"/>
      <c r="DO185" s="95"/>
      <c r="DP185" s="95"/>
      <c r="DQ185" s="95"/>
      <c r="DR185" s="95"/>
      <c r="DS185" s="95"/>
      <c r="DT185" s="95"/>
      <c r="DU185" s="95"/>
      <c r="DV185" s="95"/>
      <c r="DW185" s="95"/>
      <c r="DX185" s="95"/>
      <c r="DY185" s="95"/>
      <c r="DZ185" s="95"/>
      <c r="EA185" s="95"/>
      <c r="EB185" s="95"/>
      <c r="EC185" s="95"/>
      <c r="ED185" s="95"/>
      <c r="EE185" s="95"/>
      <c r="EF185" s="95"/>
      <c r="EG185" s="95"/>
      <c r="EH185" s="95"/>
      <c r="EI185" s="95"/>
      <c r="EJ185" s="95"/>
      <c r="EK185" s="95"/>
      <c r="EL185" s="95"/>
      <c r="EM185" s="95"/>
      <c r="EN185" s="95"/>
      <c r="EO185" s="95"/>
      <c r="EP185" s="95"/>
      <c r="EQ185" s="95"/>
      <c r="ER185" s="95"/>
      <c r="ES185" s="95"/>
      <c r="ET185" s="95"/>
      <c r="EU185" s="95"/>
      <c r="EV185" s="95"/>
      <c r="EW185" s="95"/>
      <c r="EX185" s="95"/>
      <c r="EY185" s="95"/>
      <c r="EZ185" s="95"/>
      <c r="FA185" s="95"/>
      <c r="FB185" s="95"/>
      <c r="FC185" s="95"/>
      <c r="FD185" s="95"/>
      <c r="FE185" s="95"/>
      <c r="FF185" s="95"/>
      <c r="FG185" s="95"/>
      <c r="FH185" s="95"/>
      <c r="FI185" s="95"/>
      <c r="FJ185" s="95"/>
      <c r="FK185" s="95"/>
      <c r="FL185" s="95"/>
      <c r="FM185" s="95"/>
      <c r="FN185" s="95"/>
      <c r="FO185" s="95"/>
      <c r="FP185" s="95"/>
      <c r="FQ185" s="95"/>
      <c r="FR185" s="95"/>
      <c r="FS185" s="95"/>
      <c r="FT185" s="95"/>
      <c r="FU185" s="95"/>
      <c r="FV185" s="95"/>
      <c r="FW185" s="95"/>
      <c r="FX185" s="95"/>
      <c r="FY185" s="95"/>
      <c r="FZ185" s="95"/>
      <c r="GA185" s="95"/>
      <c r="GB185" s="95"/>
      <c r="GC185" s="95"/>
      <c r="GD185" s="95"/>
      <c r="GE185" s="95"/>
      <c r="GF185" s="95"/>
      <c r="GG185" s="95"/>
      <c r="GH185" s="95"/>
      <c r="GI185" s="95"/>
      <c r="GJ185" s="95"/>
      <c r="GK185" s="95"/>
      <c r="GL185" s="95"/>
      <c r="GM185" s="95"/>
      <c r="GN185" s="95"/>
      <c r="GO185" s="95"/>
      <c r="GP185" s="95"/>
      <c r="GQ185" s="95"/>
      <c r="GR185" s="95"/>
      <c r="GS185" s="95"/>
      <c r="GT185" s="95"/>
      <c r="GU185" s="95"/>
      <c r="GV185" s="95"/>
      <c r="GW185" s="95"/>
      <c r="GX185" s="95"/>
      <c r="GY185" s="95"/>
    </row>
    <row r="186" spans="1:207" s="31" customFormat="1" ht="28.5" x14ac:dyDescent="0.45">
      <c r="A186" s="31" t="s">
        <v>44</v>
      </c>
      <c r="B186" s="31" t="s">
        <v>70</v>
      </c>
      <c r="C186" s="32" t="s">
        <v>47</v>
      </c>
      <c r="D186" s="31" t="s">
        <v>32</v>
      </c>
      <c r="E186" s="49">
        <v>1.214187591372431E-2</v>
      </c>
      <c r="F186" s="50">
        <v>4.4338708199796991E-3</v>
      </c>
      <c r="G186" s="50">
        <v>2.0276261129433894E-2</v>
      </c>
      <c r="H186" s="32" t="s">
        <v>46</v>
      </c>
      <c r="I186" s="31" t="s">
        <v>32</v>
      </c>
      <c r="J186" s="32" t="s">
        <v>41</v>
      </c>
      <c r="K186" s="31" t="s">
        <v>34</v>
      </c>
      <c r="L186" s="32" t="s">
        <v>45</v>
      </c>
      <c r="M186" s="31" t="s">
        <v>32</v>
      </c>
      <c r="N186" s="32" t="s">
        <v>35</v>
      </c>
      <c r="O186" s="110" t="s">
        <v>38</v>
      </c>
      <c r="P186" s="108"/>
      <c r="Q186" s="34"/>
      <c r="R186" s="105" t="s">
        <v>201</v>
      </c>
      <c r="X186" s="95"/>
      <c r="Y186" s="95"/>
      <c r="Z186" s="95"/>
      <c r="AA186" s="95"/>
      <c r="AB186" s="95"/>
      <c r="AC186" s="95"/>
      <c r="AD186" s="95"/>
      <c r="AE186" s="95"/>
      <c r="AF186" s="95"/>
      <c r="AG186" s="95"/>
      <c r="AH186" s="95"/>
      <c r="AI186" s="95"/>
      <c r="AJ186" s="95"/>
      <c r="AK186" s="95"/>
      <c r="AL186" s="95"/>
      <c r="AM186" s="95"/>
      <c r="AN186" s="95"/>
      <c r="AO186" s="95"/>
      <c r="AP186" s="95"/>
      <c r="AQ186" s="95"/>
      <c r="AR186" s="95"/>
      <c r="AS186" s="95"/>
      <c r="AT186" s="95"/>
      <c r="AU186" s="95"/>
      <c r="AV186" s="95"/>
      <c r="AW186" s="95"/>
      <c r="AX186" s="95"/>
      <c r="AY186" s="95"/>
      <c r="AZ186" s="95"/>
      <c r="BA186" s="95"/>
      <c r="BB186" s="95"/>
      <c r="BC186" s="95"/>
      <c r="BD186" s="95"/>
      <c r="BE186" s="95"/>
      <c r="BF186" s="95"/>
      <c r="BG186" s="95"/>
      <c r="BH186" s="95"/>
      <c r="BI186" s="95"/>
      <c r="BJ186" s="95"/>
      <c r="BK186" s="95"/>
      <c r="BL186" s="95"/>
      <c r="BM186" s="95"/>
      <c r="BN186" s="95"/>
      <c r="BO186" s="95"/>
      <c r="BP186" s="95"/>
      <c r="BQ186" s="95"/>
      <c r="BR186" s="95"/>
      <c r="BS186" s="95"/>
      <c r="BT186" s="95"/>
      <c r="BU186" s="95"/>
      <c r="BV186" s="95"/>
      <c r="BW186" s="95"/>
      <c r="BX186" s="95"/>
      <c r="BY186" s="95"/>
      <c r="BZ186" s="95"/>
      <c r="CA186" s="95"/>
      <c r="CB186" s="95"/>
      <c r="CC186" s="95"/>
      <c r="CD186" s="95"/>
      <c r="CE186" s="95"/>
      <c r="CF186" s="95"/>
      <c r="CG186" s="95"/>
      <c r="CH186" s="95"/>
      <c r="CI186" s="95"/>
      <c r="CJ186" s="95"/>
      <c r="CK186" s="95"/>
      <c r="CL186" s="95"/>
      <c r="CM186" s="95"/>
      <c r="CN186" s="95"/>
      <c r="CO186" s="95"/>
      <c r="CP186" s="95"/>
      <c r="CQ186" s="95"/>
      <c r="CR186" s="95"/>
      <c r="CS186" s="95"/>
      <c r="CT186" s="95"/>
      <c r="CU186" s="95"/>
      <c r="CV186" s="95"/>
      <c r="CW186" s="95"/>
      <c r="CX186" s="95"/>
      <c r="CY186" s="95"/>
      <c r="CZ186" s="95"/>
      <c r="DA186" s="95"/>
      <c r="DB186" s="95"/>
      <c r="DC186" s="95"/>
      <c r="DD186" s="95"/>
      <c r="DE186" s="95"/>
      <c r="DF186" s="95"/>
      <c r="DG186" s="95"/>
      <c r="DH186" s="95"/>
      <c r="DI186" s="95"/>
      <c r="DJ186" s="95"/>
      <c r="DK186" s="95"/>
      <c r="DL186" s="95"/>
      <c r="DM186" s="95"/>
      <c r="DN186" s="95"/>
      <c r="DO186" s="95"/>
      <c r="DP186" s="95"/>
      <c r="DQ186" s="95"/>
      <c r="DR186" s="95"/>
      <c r="DS186" s="95"/>
      <c r="DT186" s="95"/>
      <c r="DU186" s="95"/>
      <c r="DV186" s="95"/>
      <c r="DW186" s="95"/>
      <c r="DX186" s="95"/>
      <c r="DY186" s="95"/>
      <c r="DZ186" s="95"/>
      <c r="EA186" s="95"/>
      <c r="EB186" s="95"/>
      <c r="EC186" s="95"/>
      <c r="ED186" s="95"/>
      <c r="EE186" s="95"/>
      <c r="EF186" s="95"/>
      <c r="EG186" s="95"/>
      <c r="EH186" s="95"/>
      <c r="EI186" s="95"/>
      <c r="EJ186" s="95"/>
      <c r="EK186" s="95"/>
      <c r="EL186" s="95"/>
      <c r="EM186" s="95"/>
      <c r="EN186" s="95"/>
      <c r="EO186" s="95"/>
      <c r="EP186" s="95"/>
      <c r="EQ186" s="95"/>
      <c r="ER186" s="95"/>
      <c r="ES186" s="95"/>
      <c r="ET186" s="95"/>
      <c r="EU186" s="95"/>
      <c r="EV186" s="95"/>
      <c r="EW186" s="95"/>
      <c r="EX186" s="95"/>
      <c r="EY186" s="95"/>
      <c r="EZ186" s="95"/>
      <c r="FA186" s="95"/>
      <c r="FB186" s="95"/>
      <c r="FC186" s="95"/>
      <c r="FD186" s="95"/>
      <c r="FE186" s="95"/>
      <c r="FF186" s="95"/>
      <c r="FG186" s="95"/>
      <c r="FH186" s="95"/>
      <c r="FI186" s="95"/>
      <c r="FJ186" s="95"/>
      <c r="FK186" s="95"/>
      <c r="FL186" s="95"/>
      <c r="FM186" s="95"/>
      <c r="FN186" s="95"/>
      <c r="FO186" s="95"/>
      <c r="FP186" s="95"/>
      <c r="FQ186" s="95"/>
      <c r="FR186" s="95"/>
      <c r="FS186" s="95"/>
      <c r="FT186" s="95"/>
      <c r="FU186" s="95"/>
      <c r="FV186" s="95"/>
      <c r="FW186" s="95"/>
      <c r="FX186" s="95"/>
      <c r="FY186" s="95"/>
      <c r="FZ186" s="95"/>
      <c r="GA186" s="95"/>
      <c r="GB186" s="95"/>
      <c r="GC186" s="95"/>
      <c r="GD186" s="95"/>
      <c r="GE186" s="95"/>
      <c r="GF186" s="95"/>
      <c r="GG186" s="95"/>
      <c r="GH186" s="95"/>
      <c r="GI186" s="95"/>
      <c r="GJ186" s="95"/>
      <c r="GK186" s="95"/>
      <c r="GL186" s="95"/>
      <c r="GM186" s="95"/>
      <c r="GN186" s="95"/>
      <c r="GO186" s="95"/>
      <c r="GP186" s="95"/>
      <c r="GQ186" s="95"/>
      <c r="GR186" s="95"/>
      <c r="GS186" s="95"/>
      <c r="GT186" s="95"/>
      <c r="GU186" s="95"/>
      <c r="GV186" s="95"/>
      <c r="GW186" s="95"/>
      <c r="GX186" s="95"/>
      <c r="GY186" s="95"/>
    </row>
    <row r="187" spans="1:207" s="31" customFormat="1" ht="28.5" x14ac:dyDescent="0.45">
      <c r="A187" s="31" t="s">
        <v>44</v>
      </c>
      <c r="B187" s="31" t="s">
        <v>70</v>
      </c>
      <c r="C187" s="32" t="s">
        <v>47</v>
      </c>
      <c r="D187" s="31" t="s">
        <v>32</v>
      </c>
      <c r="E187" s="49">
        <v>0.15177344892155387</v>
      </c>
      <c r="F187" s="33">
        <v>0.1477956939993233</v>
      </c>
      <c r="G187" s="33">
        <v>0.1559712394571838</v>
      </c>
      <c r="H187" s="32" t="s">
        <v>46</v>
      </c>
      <c r="I187" s="31" t="s">
        <v>34</v>
      </c>
      <c r="J187" s="32" t="s">
        <v>41</v>
      </c>
      <c r="K187" s="31" t="s">
        <v>34</v>
      </c>
      <c r="L187" s="32" t="s">
        <v>45</v>
      </c>
      <c r="M187" s="31" t="s">
        <v>32</v>
      </c>
      <c r="N187" s="32" t="s">
        <v>35</v>
      </c>
      <c r="O187" s="110" t="s">
        <v>38</v>
      </c>
      <c r="P187" s="108"/>
      <c r="Q187" s="34"/>
      <c r="R187" s="105" t="s">
        <v>201</v>
      </c>
      <c r="X187" s="95"/>
      <c r="Y187" s="95"/>
      <c r="Z187" s="95"/>
      <c r="AA187" s="95"/>
      <c r="AB187" s="95"/>
      <c r="AC187" s="95"/>
      <c r="AD187" s="95"/>
      <c r="AE187" s="95"/>
      <c r="AF187" s="95"/>
      <c r="AG187" s="95"/>
      <c r="AH187" s="95"/>
      <c r="AI187" s="95"/>
      <c r="AJ187" s="95"/>
      <c r="AK187" s="95"/>
      <c r="AL187" s="95"/>
      <c r="AM187" s="95"/>
      <c r="AN187" s="95"/>
      <c r="AO187" s="95"/>
      <c r="AP187" s="95"/>
      <c r="AQ187" s="95"/>
      <c r="AR187" s="95"/>
      <c r="AS187" s="95"/>
      <c r="AT187" s="95"/>
      <c r="AU187" s="95"/>
      <c r="AV187" s="95"/>
      <c r="AW187" s="95"/>
      <c r="AX187" s="95"/>
      <c r="AY187" s="95"/>
      <c r="AZ187" s="95"/>
      <c r="BA187" s="95"/>
      <c r="BB187" s="95"/>
      <c r="BC187" s="95"/>
      <c r="BD187" s="95"/>
      <c r="BE187" s="95"/>
      <c r="BF187" s="95"/>
      <c r="BG187" s="95"/>
      <c r="BH187" s="95"/>
      <c r="BI187" s="95"/>
      <c r="BJ187" s="95"/>
      <c r="BK187" s="95"/>
      <c r="BL187" s="95"/>
      <c r="BM187" s="95"/>
      <c r="BN187" s="95"/>
      <c r="BO187" s="95"/>
      <c r="BP187" s="95"/>
      <c r="BQ187" s="95"/>
      <c r="BR187" s="95"/>
      <c r="BS187" s="95"/>
      <c r="BT187" s="95"/>
      <c r="BU187" s="95"/>
      <c r="BV187" s="95"/>
      <c r="BW187" s="95"/>
      <c r="BX187" s="95"/>
      <c r="BY187" s="95"/>
      <c r="BZ187" s="95"/>
      <c r="CA187" s="95"/>
      <c r="CB187" s="95"/>
      <c r="CC187" s="95"/>
      <c r="CD187" s="95"/>
      <c r="CE187" s="95"/>
      <c r="CF187" s="95"/>
      <c r="CG187" s="95"/>
      <c r="CH187" s="95"/>
      <c r="CI187" s="95"/>
      <c r="CJ187" s="95"/>
      <c r="CK187" s="95"/>
      <c r="CL187" s="95"/>
      <c r="CM187" s="95"/>
      <c r="CN187" s="95"/>
      <c r="CO187" s="95"/>
      <c r="CP187" s="95"/>
      <c r="CQ187" s="95"/>
      <c r="CR187" s="95"/>
      <c r="CS187" s="95"/>
      <c r="CT187" s="95"/>
      <c r="CU187" s="95"/>
      <c r="CV187" s="95"/>
      <c r="CW187" s="95"/>
      <c r="CX187" s="95"/>
      <c r="CY187" s="95"/>
      <c r="CZ187" s="95"/>
      <c r="DA187" s="95"/>
      <c r="DB187" s="95"/>
      <c r="DC187" s="95"/>
      <c r="DD187" s="95"/>
      <c r="DE187" s="95"/>
      <c r="DF187" s="95"/>
      <c r="DG187" s="95"/>
      <c r="DH187" s="95"/>
      <c r="DI187" s="95"/>
      <c r="DJ187" s="95"/>
      <c r="DK187" s="95"/>
      <c r="DL187" s="95"/>
      <c r="DM187" s="95"/>
      <c r="DN187" s="95"/>
      <c r="DO187" s="95"/>
      <c r="DP187" s="95"/>
      <c r="DQ187" s="95"/>
      <c r="DR187" s="95"/>
      <c r="DS187" s="95"/>
      <c r="DT187" s="95"/>
      <c r="DU187" s="95"/>
      <c r="DV187" s="95"/>
      <c r="DW187" s="95"/>
      <c r="DX187" s="95"/>
      <c r="DY187" s="95"/>
      <c r="DZ187" s="95"/>
      <c r="EA187" s="95"/>
      <c r="EB187" s="95"/>
      <c r="EC187" s="95"/>
      <c r="ED187" s="95"/>
      <c r="EE187" s="95"/>
      <c r="EF187" s="95"/>
      <c r="EG187" s="95"/>
      <c r="EH187" s="95"/>
      <c r="EI187" s="95"/>
      <c r="EJ187" s="95"/>
      <c r="EK187" s="95"/>
      <c r="EL187" s="95"/>
      <c r="EM187" s="95"/>
      <c r="EN187" s="95"/>
      <c r="EO187" s="95"/>
      <c r="EP187" s="95"/>
      <c r="EQ187" s="95"/>
      <c r="ER187" s="95"/>
      <c r="ES187" s="95"/>
      <c r="ET187" s="95"/>
      <c r="EU187" s="95"/>
      <c r="EV187" s="95"/>
      <c r="EW187" s="95"/>
      <c r="EX187" s="95"/>
      <c r="EY187" s="95"/>
      <c r="EZ187" s="95"/>
      <c r="FA187" s="95"/>
      <c r="FB187" s="95"/>
      <c r="FC187" s="95"/>
      <c r="FD187" s="95"/>
      <c r="FE187" s="95"/>
      <c r="FF187" s="95"/>
      <c r="FG187" s="95"/>
      <c r="FH187" s="95"/>
      <c r="FI187" s="95"/>
      <c r="FJ187" s="95"/>
      <c r="FK187" s="95"/>
      <c r="FL187" s="95"/>
      <c r="FM187" s="95"/>
      <c r="FN187" s="95"/>
      <c r="FO187" s="95"/>
      <c r="FP187" s="95"/>
      <c r="FQ187" s="95"/>
      <c r="FR187" s="95"/>
      <c r="FS187" s="95"/>
      <c r="FT187" s="95"/>
      <c r="FU187" s="95"/>
      <c r="FV187" s="95"/>
      <c r="FW187" s="95"/>
      <c r="FX187" s="95"/>
      <c r="FY187" s="95"/>
      <c r="FZ187" s="95"/>
      <c r="GA187" s="95"/>
      <c r="GB187" s="95"/>
      <c r="GC187" s="95"/>
      <c r="GD187" s="95"/>
      <c r="GE187" s="95"/>
      <c r="GF187" s="95"/>
      <c r="GG187" s="95"/>
      <c r="GH187" s="95"/>
      <c r="GI187" s="95"/>
      <c r="GJ187" s="95"/>
      <c r="GK187" s="95"/>
      <c r="GL187" s="95"/>
      <c r="GM187" s="95"/>
      <c r="GN187" s="95"/>
      <c r="GO187" s="95"/>
      <c r="GP187" s="95"/>
      <c r="GQ187" s="95"/>
      <c r="GR187" s="95"/>
      <c r="GS187" s="95"/>
      <c r="GT187" s="95"/>
      <c r="GU187" s="95"/>
      <c r="GV187" s="95"/>
      <c r="GW187" s="95"/>
      <c r="GX187" s="95"/>
      <c r="GY187" s="95"/>
    </row>
    <row r="188" spans="1:207" x14ac:dyDescent="0.45">
      <c r="A188" t="s">
        <v>44</v>
      </c>
      <c r="B188" t="s">
        <v>70</v>
      </c>
      <c r="C188" s="2" t="s">
        <v>47</v>
      </c>
      <c r="D188" t="s">
        <v>32</v>
      </c>
      <c r="E188" s="21">
        <v>0</v>
      </c>
      <c r="F188" s="18"/>
      <c r="G188" s="18"/>
      <c r="H188" s="2" t="s">
        <v>46</v>
      </c>
      <c r="I188" t="s">
        <v>32</v>
      </c>
      <c r="J188" s="2" t="s">
        <v>41</v>
      </c>
      <c r="K188" t="s">
        <v>32</v>
      </c>
      <c r="L188" s="2" t="s">
        <v>45</v>
      </c>
      <c r="M188" t="s">
        <v>34</v>
      </c>
      <c r="N188" s="2" t="s">
        <v>35</v>
      </c>
      <c r="O188" s="109" t="s">
        <v>38</v>
      </c>
      <c r="P188" s="107"/>
      <c r="Q188" s="4"/>
      <c r="R188" s="97"/>
    </row>
    <row r="189" spans="1:207" x14ac:dyDescent="0.45">
      <c r="A189" t="s">
        <v>44</v>
      </c>
      <c r="B189" t="s">
        <v>70</v>
      </c>
      <c r="C189" s="2" t="s">
        <v>47</v>
      </c>
      <c r="D189" t="s">
        <v>32</v>
      </c>
      <c r="E189" s="18">
        <v>0</v>
      </c>
      <c r="F189" s="18"/>
      <c r="G189" s="18"/>
      <c r="H189" s="2" t="s">
        <v>46</v>
      </c>
      <c r="I189" t="s">
        <v>34</v>
      </c>
      <c r="J189" s="2" t="s">
        <v>41</v>
      </c>
      <c r="K189" t="s">
        <v>32</v>
      </c>
      <c r="L189" s="2" t="s">
        <v>45</v>
      </c>
      <c r="M189" t="s">
        <v>34</v>
      </c>
      <c r="N189" s="2" t="s">
        <v>35</v>
      </c>
      <c r="O189" s="109" t="s">
        <v>38</v>
      </c>
      <c r="P189" s="107"/>
      <c r="Q189" s="4"/>
      <c r="R189" s="97"/>
    </row>
    <row r="190" spans="1:207" x14ac:dyDescent="0.45">
      <c r="A190" t="s">
        <v>44</v>
      </c>
      <c r="B190" t="s">
        <v>70</v>
      </c>
      <c r="C190" s="2" t="s">
        <v>47</v>
      </c>
      <c r="D190" t="s">
        <v>32</v>
      </c>
      <c r="E190" s="18">
        <v>0</v>
      </c>
      <c r="F190" s="18"/>
      <c r="G190" s="18"/>
      <c r="H190" s="2" t="s">
        <v>46</v>
      </c>
      <c r="I190" t="s">
        <v>32</v>
      </c>
      <c r="J190" s="2" t="s">
        <v>41</v>
      </c>
      <c r="K190" t="s">
        <v>34</v>
      </c>
      <c r="L190" s="2" t="s">
        <v>45</v>
      </c>
      <c r="M190" t="s">
        <v>34</v>
      </c>
      <c r="N190" s="2" t="s">
        <v>35</v>
      </c>
      <c r="O190" s="109" t="s">
        <v>38</v>
      </c>
      <c r="P190" s="107"/>
      <c r="Q190" s="4"/>
      <c r="R190" s="97"/>
    </row>
    <row r="191" spans="1:207" x14ac:dyDescent="0.45">
      <c r="A191" t="s">
        <v>44</v>
      </c>
      <c r="B191" t="s">
        <v>70</v>
      </c>
      <c r="C191" s="2" t="s">
        <v>47</v>
      </c>
      <c r="D191" t="s">
        <v>32</v>
      </c>
      <c r="E191" s="18">
        <v>0</v>
      </c>
      <c r="F191" s="18"/>
      <c r="G191" s="18"/>
      <c r="H191" s="2" t="s">
        <v>46</v>
      </c>
      <c r="I191" t="s">
        <v>34</v>
      </c>
      <c r="J191" s="2" t="s">
        <v>41</v>
      </c>
      <c r="K191" t="s">
        <v>34</v>
      </c>
      <c r="L191" s="2" t="s">
        <v>45</v>
      </c>
      <c r="M191" t="s">
        <v>34</v>
      </c>
      <c r="N191" s="2" t="s">
        <v>35</v>
      </c>
      <c r="O191" s="109" t="s">
        <v>38</v>
      </c>
      <c r="P191" s="107"/>
      <c r="Q191" s="4"/>
      <c r="R191" s="97"/>
    </row>
    <row r="192" spans="1:207" x14ac:dyDescent="0.45">
      <c r="A192" t="s">
        <v>48</v>
      </c>
      <c r="B192" t="s">
        <v>71</v>
      </c>
      <c r="C192" s="2" t="s">
        <v>22</v>
      </c>
      <c r="D192" t="s">
        <v>18</v>
      </c>
      <c r="E192" s="18">
        <v>0.65600000000000003</v>
      </c>
      <c r="F192" s="22">
        <v>0.55600000000000005</v>
      </c>
      <c r="G192" s="22">
        <v>0.75600000000000001</v>
      </c>
      <c r="H192" s="2"/>
      <c r="J192" s="2"/>
      <c r="L192" s="2"/>
      <c r="N192" s="2"/>
      <c r="O192" s="109"/>
      <c r="P192" s="107"/>
      <c r="Q192" s="4"/>
      <c r="R192" s="97"/>
    </row>
    <row r="193" spans="1:207" x14ac:dyDescent="0.45">
      <c r="A193" t="s">
        <v>48</v>
      </c>
      <c r="B193" t="s">
        <v>71</v>
      </c>
      <c r="C193" s="2" t="s">
        <v>22</v>
      </c>
      <c r="D193" t="s">
        <v>23</v>
      </c>
      <c r="E193" s="18">
        <v>0.34399999999999997</v>
      </c>
      <c r="F193" s="18">
        <v>0.24399999999999997</v>
      </c>
      <c r="G193" s="18">
        <v>0.44399999999999995</v>
      </c>
      <c r="H193" s="2"/>
      <c r="J193" s="2"/>
      <c r="L193" s="2"/>
      <c r="N193" s="2"/>
      <c r="O193" s="109"/>
      <c r="P193" s="107"/>
      <c r="Q193" s="4"/>
      <c r="R193" s="97" t="s">
        <v>176</v>
      </c>
    </row>
    <row r="194" spans="1:207" x14ac:dyDescent="0.45">
      <c r="A194" t="s">
        <v>48</v>
      </c>
      <c r="B194" t="s">
        <v>71</v>
      </c>
      <c r="C194" s="2" t="s">
        <v>17</v>
      </c>
      <c r="D194" t="s">
        <v>18</v>
      </c>
      <c r="E194" s="18">
        <v>1</v>
      </c>
      <c r="F194" s="18">
        <v>1</v>
      </c>
      <c r="G194" s="18">
        <v>1</v>
      </c>
      <c r="H194" s="2"/>
      <c r="J194" s="2"/>
      <c r="L194" s="2"/>
      <c r="N194" s="2"/>
      <c r="O194" s="109"/>
      <c r="P194" s="107"/>
      <c r="Q194" s="4"/>
      <c r="R194" s="97" t="s">
        <v>86</v>
      </c>
    </row>
    <row r="195" spans="1:207" x14ac:dyDescent="0.45">
      <c r="A195" t="s">
        <v>48</v>
      </c>
      <c r="B195" t="s">
        <v>71</v>
      </c>
      <c r="C195" s="2" t="s">
        <v>17</v>
      </c>
      <c r="D195" t="s">
        <v>19</v>
      </c>
      <c r="E195" s="18">
        <v>0</v>
      </c>
      <c r="F195" s="18">
        <v>0</v>
      </c>
      <c r="G195" s="18">
        <v>0</v>
      </c>
      <c r="H195" s="2"/>
      <c r="J195" s="2"/>
      <c r="L195" s="2"/>
      <c r="N195" s="2"/>
      <c r="O195" s="109"/>
      <c r="P195" s="107"/>
      <c r="Q195" s="4"/>
      <c r="R195" s="97" t="s">
        <v>86</v>
      </c>
    </row>
    <row r="196" spans="1:207" s="31" customFormat="1" x14ac:dyDescent="0.45">
      <c r="A196" s="31" t="s">
        <v>48</v>
      </c>
      <c r="B196" s="31" t="s">
        <v>71</v>
      </c>
      <c r="C196" s="32" t="s">
        <v>20</v>
      </c>
      <c r="D196" s="31" t="s">
        <v>18</v>
      </c>
      <c r="E196" s="47">
        <v>0.90843300000000005</v>
      </c>
      <c r="F196" s="47">
        <v>0.87180619999999998</v>
      </c>
      <c r="G196" s="47">
        <v>0.94505980000000001</v>
      </c>
      <c r="H196" s="32"/>
      <c r="J196" s="32"/>
      <c r="L196" s="32"/>
      <c r="N196" s="32"/>
      <c r="O196" s="110"/>
      <c r="P196" s="108"/>
      <c r="Q196" s="34"/>
      <c r="R196" s="98"/>
      <c r="X196" s="95"/>
      <c r="Y196" s="95"/>
      <c r="Z196" s="95"/>
      <c r="AA196" s="95"/>
      <c r="AB196" s="95"/>
      <c r="AC196" s="95"/>
      <c r="AD196" s="95"/>
      <c r="AE196" s="95"/>
      <c r="AF196" s="95"/>
      <c r="AG196" s="95"/>
      <c r="AH196" s="95"/>
      <c r="AI196" s="95"/>
      <c r="AJ196" s="95"/>
      <c r="AK196" s="95"/>
      <c r="AL196" s="95"/>
      <c r="AM196" s="95"/>
      <c r="AN196" s="95"/>
      <c r="AO196" s="95"/>
      <c r="AP196" s="95"/>
      <c r="AQ196" s="95"/>
      <c r="AR196" s="95"/>
      <c r="AS196" s="95"/>
      <c r="AT196" s="95"/>
      <c r="AU196" s="95"/>
      <c r="AV196" s="95"/>
      <c r="AW196" s="95"/>
      <c r="AX196" s="95"/>
      <c r="AY196" s="95"/>
      <c r="AZ196" s="95"/>
      <c r="BA196" s="95"/>
      <c r="BB196" s="95"/>
      <c r="BC196" s="95"/>
      <c r="BD196" s="95"/>
      <c r="BE196" s="95"/>
      <c r="BF196" s="95"/>
      <c r="BG196" s="95"/>
      <c r="BH196" s="95"/>
      <c r="BI196" s="95"/>
      <c r="BJ196" s="95"/>
      <c r="BK196" s="95"/>
      <c r="BL196" s="95"/>
      <c r="BM196" s="95"/>
      <c r="BN196" s="95"/>
      <c r="BO196" s="95"/>
      <c r="BP196" s="95"/>
      <c r="BQ196" s="95"/>
      <c r="BR196" s="95"/>
      <c r="BS196" s="95"/>
      <c r="BT196" s="95"/>
      <c r="BU196" s="95"/>
      <c r="BV196" s="95"/>
      <c r="BW196" s="95"/>
      <c r="BX196" s="95"/>
      <c r="BY196" s="95"/>
      <c r="BZ196" s="95"/>
      <c r="CA196" s="95"/>
      <c r="CB196" s="95"/>
      <c r="CC196" s="95"/>
      <c r="CD196" s="95"/>
      <c r="CE196" s="95"/>
      <c r="CF196" s="95"/>
      <c r="CG196" s="95"/>
      <c r="CH196" s="95"/>
      <c r="CI196" s="95"/>
      <c r="CJ196" s="95"/>
      <c r="CK196" s="95"/>
      <c r="CL196" s="95"/>
      <c r="CM196" s="95"/>
      <c r="CN196" s="95"/>
      <c r="CO196" s="95"/>
      <c r="CP196" s="95"/>
      <c r="CQ196" s="95"/>
      <c r="CR196" s="95"/>
      <c r="CS196" s="95"/>
      <c r="CT196" s="95"/>
      <c r="CU196" s="95"/>
      <c r="CV196" s="95"/>
      <c r="CW196" s="95"/>
      <c r="CX196" s="95"/>
      <c r="CY196" s="95"/>
      <c r="CZ196" s="95"/>
      <c r="DA196" s="95"/>
      <c r="DB196" s="95"/>
      <c r="DC196" s="95"/>
      <c r="DD196" s="95"/>
      <c r="DE196" s="95"/>
      <c r="DF196" s="95"/>
      <c r="DG196" s="95"/>
      <c r="DH196" s="95"/>
      <c r="DI196" s="95"/>
      <c r="DJ196" s="95"/>
      <c r="DK196" s="95"/>
      <c r="DL196" s="95"/>
      <c r="DM196" s="95"/>
      <c r="DN196" s="95"/>
      <c r="DO196" s="95"/>
      <c r="DP196" s="95"/>
      <c r="DQ196" s="95"/>
      <c r="DR196" s="95"/>
      <c r="DS196" s="95"/>
      <c r="DT196" s="95"/>
      <c r="DU196" s="95"/>
      <c r="DV196" s="95"/>
      <c r="DW196" s="95"/>
      <c r="DX196" s="95"/>
      <c r="DY196" s="95"/>
      <c r="DZ196" s="95"/>
      <c r="EA196" s="95"/>
      <c r="EB196" s="95"/>
      <c r="EC196" s="95"/>
      <c r="ED196" s="95"/>
      <c r="EE196" s="95"/>
      <c r="EF196" s="95"/>
      <c r="EG196" s="95"/>
      <c r="EH196" s="95"/>
      <c r="EI196" s="95"/>
      <c r="EJ196" s="95"/>
      <c r="EK196" s="95"/>
      <c r="EL196" s="95"/>
      <c r="EM196" s="95"/>
      <c r="EN196" s="95"/>
      <c r="EO196" s="95"/>
      <c r="EP196" s="95"/>
      <c r="EQ196" s="95"/>
      <c r="ER196" s="95"/>
      <c r="ES196" s="95"/>
      <c r="ET196" s="95"/>
      <c r="EU196" s="95"/>
      <c r="EV196" s="95"/>
      <c r="EW196" s="95"/>
      <c r="EX196" s="95"/>
      <c r="EY196" s="95"/>
      <c r="EZ196" s="95"/>
      <c r="FA196" s="95"/>
      <c r="FB196" s="95"/>
      <c r="FC196" s="95"/>
      <c r="FD196" s="95"/>
      <c r="FE196" s="95"/>
      <c r="FF196" s="95"/>
      <c r="FG196" s="95"/>
      <c r="FH196" s="95"/>
      <c r="FI196" s="95"/>
      <c r="FJ196" s="95"/>
      <c r="FK196" s="95"/>
      <c r="FL196" s="95"/>
      <c r="FM196" s="95"/>
      <c r="FN196" s="95"/>
      <c r="FO196" s="95"/>
      <c r="FP196" s="95"/>
      <c r="FQ196" s="95"/>
      <c r="FR196" s="95"/>
      <c r="FS196" s="95"/>
      <c r="FT196" s="95"/>
      <c r="FU196" s="95"/>
      <c r="FV196" s="95"/>
      <c r="FW196" s="95"/>
      <c r="FX196" s="95"/>
      <c r="FY196" s="95"/>
      <c r="FZ196" s="95"/>
      <c r="GA196" s="95"/>
      <c r="GB196" s="95"/>
      <c r="GC196" s="95"/>
      <c r="GD196" s="95"/>
      <c r="GE196" s="95"/>
      <c r="GF196" s="95"/>
      <c r="GG196" s="95"/>
      <c r="GH196" s="95"/>
      <c r="GI196" s="95"/>
      <c r="GJ196" s="95"/>
      <c r="GK196" s="95"/>
      <c r="GL196" s="95"/>
      <c r="GM196" s="95"/>
      <c r="GN196" s="95"/>
      <c r="GO196" s="95"/>
      <c r="GP196" s="95"/>
      <c r="GQ196" s="95"/>
      <c r="GR196" s="95"/>
      <c r="GS196" s="95"/>
      <c r="GT196" s="95"/>
      <c r="GU196" s="95"/>
      <c r="GV196" s="95"/>
      <c r="GW196" s="95"/>
      <c r="GX196" s="95"/>
      <c r="GY196" s="95"/>
    </row>
    <row r="197" spans="1:207" s="31" customFormat="1" ht="28.5" x14ac:dyDescent="0.45">
      <c r="A197" s="31" t="s">
        <v>48</v>
      </c>
      <c r="B197" s="31" t="s">
        <v>71</v>
      </c>
      <c r="C197" s="32" t="s">
        <v>20</v>
      </c>
      <c r="D197" s="31" t="s">
        <v>21</v>
      </c>
      <c r="E197" s="48">
        <v>9.1567000000000009E-2</v>
      </c>
      <c r="F197" s="48">
        <v>5.4940200000000002E-2</v>
      </c>
      <c r="G197" s="48">
        <v>0.1281938</v>
      </c>
      <c r="H197" s="32"/>
      <c r="J197" s="32"/>
      <c r="L197" s="32"/>
      <c r="N197" s="32"/>
      <c r="O197" s="110"/>
      <c r="P197" s="108"/>
      <c r="Q197" s="34"/>
      <c r="R197" s="98" t="s">
        <v>207</v>
      </c>
      <c r="X197" s="95"/>
      <c r="Y197" s="95"/>
      <c r="Z197" s="95"/>
      <c r="AA197" s="95"/>
      <c r="AB197" s="95"/>
      <c r="AC197" s="95"/>
      <c r="AD197" s="95"/>
      <c r="AE197" s="95"/>
      <c r="AF197" s="95"/>
      <c r="AG197" s="95"/>
      <c r="AH197" s="95"/>
      <c r="AI197" s="95"/>
      <c r="AJ197" s="95"/>
      <c r="AK197" s="95"/>
      <c r="AL197" s="95"/>
      <c r="AM197" s="95"/>
      <c r="AN197" s="95"/>
      <c r="AO197" s="95"/>
      <c r="AP197" s="95"/>
      <c r="AQ197" s="95"/>
      <c r="AR197" s="95"/>
      <c r="AS197" s="95"/>
      <c r="AT197" s="95"/>
      <c r="AU197" s="95"/>
      <c r="AV197" s="95"/>
      <c r="AW197" s="95"/>
      <c r="AX197" s="95"/>
      <c r="AY197" s="95"/>
      <c r="AZ197" s="95"/>
      <c r="BA197" s="95"/>
      <c r="BB197" s="95"/>
      <c r="BC197" s="95"/>
      <c r="BD197" s="95"/>
      <c r="BE197" s="95"/>
      <c r="BF197" s="95"/>
      <c r="BG197" s="95"/>
      <c r="BH197" s="95"/>
      <c r="BI197" s="95"/>
      <c r="BJ197" s="95"/>
      <c r="BK197" s="95"/>
      <c r="BL197" s="95"/>
      <c r="BM197" s="95"/>
      <c r="BN197" s="95"/>
      <c r="BO197" s="95"/>
      <c r="BP197" s="95"/>
      <c r="BQ197" s="95"/>
      <c r="BR197" s="95"/>
      <c r="BS197" s="95"/>
      <c r="BT197" s="95"/>
      <c r="BU197" s="95"/>
      <c r="BV197" s="95"/>
      <c r="BW197" s="95"/>
      <c r="BX197" s="95"/>
      <c r="BY197" s="95"/>
      <c r="BZ197" s="95"/>
      <c r="CA197" s="95"/>
      <c r="CB197" s="95"/>
      <c r="CC197" s="95"/>
      <c r="CD197" s="95"/>
      <c r="CE197" s="95"/>
      <c r="CF197" s="95"/>
      <c r="CG197" s="95"/>
      <c r="CH197" s="95"/>
      <c r="CI197" s="95"/>
      <c r="CJ197" s="95"/>
      <c r="CK197" s="95"/>
      <c r="CL197" s="95"/>
      <c r="CM197" s="95"/>
      <c r="CN197" s="95"/>
      <c r="CO197" s="95"/>
      <c r="CP197" s="95"/>
      <c r="CQ197" s="95"/>
      <c r="CR197" s="95"/>
      <c r="CS197" s="95"/>
      <c r="CT197" s="95"/>
      <c r="CU197" s="95"/>
      <c r="CV197" s="95"/>
      <c r="CW197" s="95"/>
      <c r="CX197" s="95"/>
      <c r="CY197" s="95"/>
      <c r="CZ197" s="95"/>
      <c r="DA197" s="95"/>
      <c r="DB197" s="95"/>
      <c r="DC197" s="95"/>
      <c r="DD197" s="95"/>
      <c r="DE197" s="95"/>
      <c r="DF197" s="95"/>
      <c r="DG197" s="95"/>
      <c r="DH197" s="95"/>
      <c r="DI197" s="95"/>
      <c r="DJ197" s="95"/>
      <c r="DK197" s="95"/>
      <c r="DL197" s="95"/>
      <c r="DM197" s="95"/>
      <c r="DN197" s="95"/>
      <c r="DO197" s="95"/>
      <c r="DP197" s="95"/>
      <c r="DQ197" s="95"/>
      <c r="DR197" s="95"/>
      <c r="DS197" s="95"/>
      <c r="DT197" s="95"/>
      <c r="DU197" s="95"/>
      <c r="DV197" s="95"/>
      <c r="DW197" s="95"/>
      <c r="DX197" s="95"/>
      <c r="DY197" s="95"/>
      <c r="DZ197" s="95"/>
      <c r="EA197" s="95"/>
      <c r="EB197" s="95"/>
      <c r="EC197" s="95"/>
      <c r="ED197" s="95"/>
      <c r="EE197" s="95"/>
      <c r="EF197" s="95"/>
      <c r="EG197" s="95"/>
      <c r="EH197" s="95"/>
      <c r="EI197" s="95"/>
      <c r="EJ197" s="95"/>
      <c r="EK197" s="95"/>
      <c r="EL197" s="95"/>
      <c r="EM197" s="95"/>
      <c r="EN197" s="95"/>
      <c r="EO197" s="95"/>
      <c r="EP197" s="95"/>
      <c r="EQ197" s="95"/>
      <c r="ER197" s="95"/>
      <c r="ES197" s="95"/>
      <c r="ET197" s="95"/>
      <c r="EU197" s="95"/>
      <c r="EV197" s="95"/>
      <c r="EW197" s="95"/>
      <c r="EX197" s="95"/>
      <c r="EY197" s="95"/>
      <c r="EZ197" s="95"/>
      <c r="FA197" s="95"/>
      <c r="FB197" s="95"/>
      <c r="FC197" s="95"/>
      <c r="FD197" s="95"/>
      <c r="FE197" s="95"/>
      <c r="FF197" s="95"/>
      <c r="FG197" s="95"/>
      <c r="FH197" s="95"/>
      <c r="FI197" s="95"/>
      <c r="FJ197" s="95"/>
      <c r="FK197" s="95"/>
      <c r="FL197" s="95"/>
      <c r="FM197" s="95"/>
      <c r="FN197" s="95"/>
      <c r="FO197" s="95"/>
      <c r="FP197" s="95"/>
      <c r="FQ197" s="95"/>
      <c r="FR197" s="95"/>
      <c r="FS197" s="95"/>
      <c r="FT197" s="95"/>
      <c r="FU197" s="95"/>
      <c r="FV197" s="95"/>
      <c r="FW197" s="95"/>
      <c r="FX197" s="95"/>
      <c r="FY197" s="95"/>
      <c r="FZ197" s="95"/>
      <c r="GA197" s="95"/>
      <c r="GB197" s="95"/>
      <c r="GC197" s="95"/>
      <c r="GD197" s="95"/>
      <c r="GE197" s="95"/>
      <c r="GF197" s="95"/>
      <c r="GG197" s="95"/>
      <c r="GH197" s="95"/>
      <c r="GI197" s="95"/>
      <c r="GJ197" s="95"/>
      <c r="GK197" s="95"/>
      <c r="GL197" s="95"/>
      <c r="GM197" s="95"/>
      <c r="GN197" s="95"/>
      <c r="GO197" s="95"/>
      <c r="GP197" s="95"/>
      <c r="GQ197" s="95"/>
      <c r="GR197" s="95"/>
      <c r="GS197" s="95"/>
      <c r="GT197" s="95"/>
      <c r="GU197" s="95"/>
      <c r="GV197" s="95"/>
      <c r="GW197" s="95"/>
      <c r="GX197" s="95"/>
      <c r="GY197" s="95"/>
    </row>
    <row r="198" spans="1:207" x14ac:dyDescent="0.45">
      <c r="A198" t="s">
        <v>48</v>
      </c>
      <c r="B198" t="s">
        <v>71</v>
      </c>
      <c r="C198" s="2" t="s">
        <v>49</v>
      </c>
      <c r="D198" t="s">
        <v>18</v>
      </c>
      <c r="E198" s="18">
        <v>0.24</v>
      </c>
      <c r="F198" s="22">
        <v>0.14000000000000001</v>
      </c>
      <c r="G198" s="22">
        <v>0.33999999999999997</v>
      </c>
      <c r="H198" s="2"/>
      <c r="J198" s="2"/>
      <c r="L198" s="2"/>
      <c r="N198" s="2"/>
      <c r="O198" s="109"/>
      <c r="P198" s="107"/>
      <c r="Q198" s="4"/>
      <c r="R198" s="97"/>
    </row>
    <row r="199" spans="1:207" x14ac:dyDescent="0.45">
      <c r="A199" t="s">
        <v>48</v>
      </c>
      <c r="B199" t="s">
        <v>71</v>
      </c>
      <c r="C199" s="2" t="s">
        <v>49</v>
      </c>
      <c r="D199" t="s">
        <v>50</v>
      </c>
      <c r="E199" s="18">
        <v>0.76</v>
      </c>
      <c r="F199" s="18">
        <v>0.66</v>
      </c>
      <c r="G199" s="18">
        <v>0.86</v>
      </c>
      <c r="H199" s="2"/>
      <c r="J199" s="2"/>
      <c r="L199" s="2"/>
      <c r="N199" s="2"/>
      <c r="O199" s="109"/>
      <c r="P199" s="107"/>
      <c r="Q199" s="4"/>
      <c r="R199" s="97" t="s">
        <v>177</v>
      </c>
    </row>
    <row r="200" spans="1:207" ht="13.8" customHeight="1" x14ac:dyDescent="0.45">
      <c r="A200" t="s">
        <v>48</v>
      </c>
      <c r="B200" t="s">
        <v>71</v>
      </c>
      <c r="C200" s="2" t="s">
        <v>26</v>
      </c>
      <c r="D200" t="s">
        <v>18</v>
      </c>
      <c r="E200" s="18">
        <v>1</v>
      </c>
      <c r="F200" s="18">
        <v>1</v>
      </c>
      <c r="G200" s="18">
        <v>1</v>
      </c>
      <c r="H200" s="2"/>
      <c r="J200" s="2"/>
      <c r="L200" s="2"/>
      <c r="N200" s="2"/>
      <c r="O200" s="109"/>
      <c r="P200" s="107"/>
      <c r="Q200" s="4"/>
      <c r="R200" s="97" t="s">
        <v>86</v>
      </c>
    </row>
    <row r="201" spans="1:207" ht="13.8" customHeight="1" x14ac:dyDescent="0.45">
      <c r="A201" t="s">
        <v>48</v>
      </c>
      <c r="B201" t="s">
        <v>71</v>
      </c>
      <c r="C201" s="2" t="s">
        <v>26</v>
      </c>
      <c r="D201" t="s">
        <v>27</v>
      </c>
      <c r="E201" s="18">
        <v>0</v>
      </c>
      <c r="F201" s="18">
        <v>0</v>
      </c>
      <c r="G201" s="18">
        <v>0</v>
      </c>
      <c r="H201" s="2"/>
      <c r="J201" s="2"/>
      <c r="L201" s="2"/>
      <c r="N201" s="2"/>
      <c r="O201" s="109"/>
      <c r="P201" s="107"/>
      <c r="Q201" s="4"/>
      <c r="R201" s="97" t="s">
        <v>86</v>
      </c>
    </row>
    <row r="202" spans="1:207" x14ac:dyDescent="0.45">
      <c r="A202" t="s">
        <v>48</v>
      </c>
      <c r="B202" t="s">
        <v>71</v>
      </c>
      <c r="C202" s="2" t="s">
        <v>26</v>
      </c>
      <c r="D202" t="s">
        <v>28</v>
      </c>
      <c r="E202" s="18">
        <v>0</v>
      </c>
      <c r="F202" s="18">
        <v>0</v>
      </c>
      <c r="G202" s="18">
        <v>0</v>
      </c>
      <c r="H202" s="2"/>
      <c r="J202" s="2"/>
      <c r="L202" s="2"/>
      <c r="N202" s="2"/>
      <c r="O202" s="109"/>
      <c r="P202" s="107"/>
      <c r="Q202" s="4"/>
      <c r="R202" s="97" t="s">
        <v>86</v>
      </c>
    </row>
    <row r="203" spans="1:207" x14ac:dyDescent="0.45">
      <c r="A203" t="s">
        <v>48</v>
      </c>
      <c r="B203" t="s">
        <v>71</v>
      </c>
      <c r="C203" s="2" t="s">
        <v>35</v>
      </c>
      <c r="D203" t="s">
        <v>36</v>
      </c>
      <c r="E203" s="18">
        <v>0</v>
      </c>
      <c r="F203" s="18">
        <v>0</v>
      </c>
      <c r="G203" s="22">
        <v>0</v>
      </c>
      <c r="H203" s="2" t="s">
        <v>26</v>
      </c>
      <c r="I203" t="s">
        <v>18</v>
      </c>
      <c r="J203" s="2"/>
      <c r="L203" s="2"/>
      <c r="N203" s="2"/>
      <c r="O203" s="109"/>
      <c r="P203" s="107"/>
      <c r="Q203" s="4"/>
      <c r="R203" s="97" t="s">
        <v>86</v>
      </c>
    </row>
    <row r="204" spans="1:207" x14ac:dyDescent="0.45">
      <c r="A204" t="s">
        <v>48</v>
      </c>
      <c r="B204" t="s">
        <v>71</v>
      </c>
      <c r="C204" s="2" t="s">
        <v>35</v>
      </c>
      <c r="D204" t="s">
        <v>37</v>
      </c>
      <c r="E204" s="18">
        <v>0.14000000000000001</v>
      </c>
      <c r="F204" s="18">
        <v>4.0000000000000008E-2</v>
      </c>
      <c r="G204" s="18">
        <v>0.24000000000000002</v>
      </c>
      <c r="H204" s="2" t="s">
        <v>26</v>
      </c>
      <c r="I204" t="s">
        <v>18</v>
      </c>
      <c r="J204" s="2"/>
      <c r="L204" s="2"/>
      <c r="N204" s="2"/>
      <c r="O204" s="109"/>
      <c r="P204" s="107"/>
      <c r="Q204" s="4"/>
      <c r="R204" s="97" t="s">
        <v>152</v>
      </c>
    </row>
    <row r="205" spans="1:207" x14ac:dyDescent="0.45">
      <c r="A205" t="s">
        <v>48</v>
      </c>
      <c r="B205" t="s">
        <v>71</v>
      </c>
      <c r="C205" s="2" t="s">
        <v>35</v>
      </c>
      <c r="D205" t="s">
        <v>38</v>
      </c>
      <c r="E205" s="18">
        <v>0.86</v>
      </c>
      <c r="F205" s="22">
        <v>0.76</v>
      </c>
      <c r="G205" s="22">
        <v>0.96</v>
      </c>
      <c r="H205" s="2" t="s">
        <v>26</v>
      </c>
      <c r="I205" t="s">
        <v>18</v>
      </c>
      <c r="J205" s="2"/>
      <c r="L205" s="2"/>
      <c r="N205" s="2"/>
      <c r="O205" s="109"/>
      <c r="P205" s="107"/>
      <c r="Q205" s="4"/>
      <c r="R205" s="97" t="s">
        <v>152</v>
      </c>
    </row>
    <row r="206" spans="1:207" x14ac:dyDescent="0.45">
      <c r="A206" t="s">
        <v>48</v>
      </c>
      <c r="B206" t="s">
        <v>71</v>
      </c>
      <c r="C206" s="2" t="s">
        <v>35</v>
      </c>
      <c r="D206" t="s">
        <v>36</v>
      </c>
      <c r="E206" s="18">
        <v>0.3125</v>
      </c>
      <c r="F206" s="18">
        <v>0.21249999999999999</v>
      </c>
      <c r="G206" s="18">
        <v>0.41249999999999998</v>
      </c>
      <c r="H206" s="2" t="s">
        <v>26</v>
      </c>
      <c r="I206" t="s">
        <v>27</v>
      </c>
      <c r="J206" s="2"/>
      <c r="L206" s="2"/>
      <c r="N206" s="2"/>
      <c r="O206" s="109"/>
      <c r="P206" s="107"/>
      <c r="Q206" s="4"/>
      <c r="R206" s="99" t="s">
        <v>178</v>
      </c>
    </row>
    <row r="207" spans="1:207" x14ac:dyDescent="0.45">
      <c r="A207" t="s">
        <v>48</v>
      </c>
      <c r="B207" t="s">
        <v>71</v>
      </c>
      <c r="C207" s="2" t="s">
        <v>35</v>
      </c>
      <c r="D207" t="s">
        <v>37</v>
      </c>
      <c r="E207" s="18">
        <v>0.06</v>
      </c>
      <c r="F207" s="18">
        <v>2.8000000000000001E-2</v>
      </c>
      <c r="G207" s="18">
        <v>0.122</v>
      </c>
      <c r="H207" s="2" t="s">
        <v>26</v>
      </c>
      <c r="I207" t="s">
        <v>27</v>
      </c>
      <c r="J207" s="2"/>
      <c r="L207" s="2"/>
      <c r="N207" s="2"/>
      <c r="O207" s="109"/>
      <c r="P207" s="107"/>
      <c r="Q207" s="4"/>
      <c r="R207" s="97" t="s">
        <v>179</v>
      </c>
    </row>
    <row r="208" spans="1:207" x14ac:dyDescent="0.45">
      <c r="A208" t="s">
        <v>48</v>
      </c>
      <c r="B208" t="s">
        <v>71</v>
      </c>
      <c r="C208" s="2" t="s">
        <v>35</v>
      </c>
      <c r="D208" t="s">
        <v>38</v>
      </c>
      <c r="E208" s="18">
        <v>0.62749999999999995</v>
      </c>
      <c r="F208" s="22">
        <v>0.46550000000000002</v>
      </c>
      <c r="G208" s="22">
        <v>0.75949999999999995</v>
      </c>
      <c r="H208" s="2" t="s">
        <v>26</v>
      </c>
      <c r="I208" t="s">
        <v>27</v>
      </c>
      <c r="J208" s="2"/>
      <c r="L208" s="2"/>
      <c r="N208" s="2"/>
      <c r="O208" s="109"/>
      <c r="P208" s="107"/>
      <c r="Q208" s="4"/>
      <c r="R208" s="97" t="s">
        <v>90</v>
      </c>
    </row>
    <row r="209" spans="1:18" x14ac:dyDescent="0.45">
      <c r="A209" t="s">
        <v>48</v>
      </c>
      <c r="B209" t="s">
        <v>71</v>
      </c>
      <c r="C209" s="2" t="s">
        <v>35</v>
      </c>
      <c r="D209" t="s">
        <v>36</v>
      </c>
      <c r="E209" s="18">
        <v>0.3125</v>
      </c>
      <c r="F209" s="18">
        <v>0.21249999999999999</v>
      </c>
      <c r="G209" s="18">
        <v>0.41249999999999998</v>
      </c>
      <c r="H209" s="2" t="s">
        <v>26</v>
      </c>
      <c r="I209" t="s">
        <v>28</v>
      </c>
      <c r="J209" s="2"/>
      <c r="L209" s="2"/>
      <c r="N209" s="2"/>
      <c r="O209" s="109"/>
      <c r="P209" s="107"/>
      <c r="Q209" s="4"/>
      <c r="R209" s="99" t="s">
        <v>178</v>
      </c>
    </row>
    <row r="210" spans="1:18" x14ac:dyDescent="0.45">
      <c r="A210" t="s">
        <v>48</v>
      </c>
      <c r="B210" t="s">
        <v>71</v>
      </c>
      <c r="C210" s="2" t="s">
        <v>35</v>
      </c>
      <c r="D210" t="s">
        <v>37</v>
      </c>
      <c r="E210" s="18">
        <v>0.06</v>
      </c>
      <c r="F210" s="18">
        <v>2.8000000000000001E-2</v>
      </c>
      <c r="G210" s="18">
        <v>0.122</v>
      </c>
      <c r="H210" s="2" t="s">
        <v>26</v>
      </c>
      <c r="I210" t="s">
        <v>28</v>
      </c>
      <c r="J210" s="2"/>
      <c r="L210" s="2"/>
      <c r="N210" s="2"/>
      <c r="O210" s="109"/>
      <c r="P210" s="107"/>
      <c r="Q210" s="4"/>
      <c r="R210" s="97" t="s">
        <v>179</v>
      </c>
    </row>
    <row r="211" spans="1:18" x14ac:dyDescent="0.45">
      <c r="A211" t="s">
        <v>48</v>
      </c>
      <c r="B211" t="s">
        <v>71</v>
      </c>
      <c r="C211" s="2" t="s">
        <v>35</v>
      </c>
      <c r="D211" t="s">
        <v>38</v>
      </c>
      <c r="E211" s="18">
        <v>0.62749999999999995</v>
      </c>
      <c r="F211" s="22">
        <v>0.46550000000000002</v>
      </c>
      <c r="G211" s="22">
        <v>0.75949999999999995</v>
      </c>
      <c r="H211" s="2" t="s">
        <v>26</v>
      </c>
      <c r="I211" t="s">
        <v>28</v>
      </c>
      <c r="J211" s="2"/>
      <c r="L211" s="2"/>
      <c r="N211" s="2"/>
      <c r="O211" s="109"/>
      <c r="P211" s="107"/>
      <c r="Q211" s="4"/>
      <c r="R211" s="97" t="s">
        <v>90</v>
      </c>
    </row>
    <row r="212" spans="1:18" x14ac:dyDescent="0.45">
      <c r="A212" t="s">
        <v>48</v>
      </c>
      <c r="B212" t="s">
        <v>71</v>
      </c>
      <c r="C212" s="2" t="s">
        <v>51</v>
      </c>
      <c r="D212" t="s">
        <v>32</v>
      </c>
      <c r="E212" s="18">
        <v>0.3486640832143586</v>
      </c>
      <c r="F212" s="20">
        <v>0.30215812579493706</v>
      </c>
      <c r="G212" s="20">
        <v>0.40407945188258221</v>
      </c>
      <c r="H212" s="2" t="s">
        <v>49</v>
      </c>
      <c r="I212" t="s">
        <v>18</v>
      </c>
      <c r="J212" s="2" t="s">
        <v>20</v>
      </c>
      <c r="K212" t="s">
        <v>18</v>
      </c>
      <c r="L212" s="2"/>
      <c r="N212" s="2"/>
      <c r="O212" s="109"/>
      <c r="P212" s="107"/>
      <c r="Q212" s="4"/>
      <c r="R212" s="99" t="s">
        <v>180</v>
      </c>
    </row>
    <row r="213" spans="1:18" x14ac:dyDescent="0.45">
      <c r="A213" t="s">
        <v>48</v>
      </c>
      <c r="B213" t="s">
        <v>71</v>
      </c>
      <c r="C213" s="2" t="s">
        <v>51</v>
      </c>
      <c r="D213" t="s">
        <v>32</v>
      </c>
      <c r="E213" s="18">
        <v>0.23200081582704471</v>
      </c>
      <c r="F213" s="20">
        <v>0.16039738730267133</v>
      </c>
      <c r="G213" s="20">
        <v>0.32989716945400577</v>
      </c>
      <c r="H213" s="2" t="s">
        <v>49</v>
      </c>
      <c r="I213" t="s">
        <v>50</v>
      </c>
      <c r="J213" s="2" t="s">
        <v>20</v>
      </c>
      <c r="K213" t="s">
        <v>18</v>
      </c>
      <c r="L213" s="2"/>
      <c r="N213" s="2"/>
      <c r="O213" s="109"/>
      <c r="P213" s="107"/>
      <c r="Q213" s="4"/>
      <c r="R213" s="99" t="s">
        <v>180</v>
      </c>
    </row>
    <row r="214" spans="1:18" ht="28.5" x14ac:dyDescent="0.45">
      <c r="A214" t="s">
        <v>48</v>
      </c>
      <c r="B214" t="s">
        <v>71</v>
      </c>
      <c r="C214" s="2" t="s">
        <v>51</v>
      </c>
      <c r="D214" t="s">
        <v>32</v>
      </c>
      <c r="E214" s="18">
        <v>0.3486640832143586</v>
      </c>
      <c r="F214" s="20">
        <v>0.30215812579493706</v>
      </c>
      <c r="G214" s="20">
        <v>0.40407945188258221</v>
      </c>
      <c r="H214" s="2" t="s">
        <v>49</v>
      </c>
      <c r="I214" t="s">
        <v>18</v>
      </c>
      <c r="J214" s="2" t="s">
        <v>20</v>
      </c>
      <c r="K214" t="s">
        <v>21</v>
      </c>
      <c r="L214" s="2"/>
      <c r="N214" s="2"/>
      <c r="O214" s="109"/>
      <c r="P214" s="107"/>
      <c r="Q214" s="4"/>
      <c r="R214" s="99" t="s">
        <v>181</v>
      </c>
    </row>
    <row r="215" spans="1:18" ht="14.25" customHeight="1" x14ac:dyDescent="0.45">
      <c r="A215" t="s">
        <v>48</v>
      </c>
      <c r="B215" t="s">
        <v>71</v>
      </c>
      <c r="C215" s="2" t="s">
        <v>51</v>
      </c>
      <c r="D215" t="s">
        <v>32</v>
      </c>
      <c r="E215" s="18">
        <v>0.23200081582704471</v>
      </c>
      <c r="F215" s="20">
        <v>0.16039738730267133</v>
      </c>
      <c r="G215" s="20">
        <v>0.32989716945400577</v>
      </c>
      <c r="H215" s="2" t="s">
        <v>49</v>
      </c>
      <c r="I215" t="s">
        <v>50</v>
      </c>
      <c r="J215" s="2" t="s">
        <v>20</v>
      </c>
      <c r="K215" t="s">
        <v>21</v>
      </c>
      <c r="L215" s="2"/>
      <c r="N215" s="2"/>
      <c r="O215" s="109"/>
      <c r="P215" s="107"/>
      <c r="Q215" s="4"/>
      <c r="R215" s="99" t="s">
        <v>181</v>
      </c>
    </row>
    <row r="216" spans="1:18" ht="28.5" x14ac:dyDescent="0.45">
      <c r="A216" t="s">
        <v>48</v>
      </c>
      <c r="B216" t="s">
        <v>71</v>
      </c>
      <c r="C216" s="2" t="s">
        <v>52</v>
      </c>
      <c r="D216" t="s">
        <v>32</v>
      </c>
      <c r="E216" s="18">
        <v>0.372</v>
      </c>
      <c r="F216" s="20">
        <v>0.14654113435227215</v>
      </c>
      <c r="G216" s="20">
        <v>0.83345182845712884</v>
      </c>
      <c r="H216" s="2" t="s">
        <v>35</v>
      </c>
      <c r="I216" t="s">
        <v>36</v>
      </c>
      <c r="J216" s="2" t="s">
        <v>51</v>
      </c>
      <c r="K216" t="s">
        <v>32</v>
      </c>
      <c r="L216" s="2" t="s">
        <v>22</v>
      </c>
      <c r="M216" t="s">
        <v>18</v>
      </c>
      <c r="N216" s="2" t="s">
        <v>17</v>
      </c>
      <c r="O216" s="109" t="s">
        <v>18</v>
      </c>
      <c r="P216" s="107"/>
      <c r="Q216" s="4"/>
      <c r="R216" s="99" t="s">
        <v>182</v>
      </c>
    </row>
    <row r="217" spans="1:18" ht="28.5" x14ac:dyDescent="0.45">
      <c r="A217" t="s">
        <v>48</v>
      </c>
      <c r="B217" t="s">
        <v>71</v>
      </c>
      <c r="C217" s="2" t="s">
        <v>52</v>
      </c>
      <c r="D217" t="s">
        <v>32</v>
      </c>
      <c r="E217" s="18">
        <v>0.75900000000000001</v>
      </c>
      <c r="F217" s="20">
        <v>0.16705689316159023</v>
      </c>
      <c r="G217" s="20">
        <v>1</v>
      </c>
      <c r="H217" s="2" t="s">
        <v>35</v>
      </c>
      <c r="I217" t="s">
        <v>37</v>
      </c>
      <c r="J217" s="2" t="s">
        <v>51</v>
      </c>
      <c r="K217" t="s">
        <v>32</v>
      </c>
      <c r="L217" s="2" t="s">
        <v>22</v>
      </c>
      <c r="M217" t="s">
        <v>18</v>
      </c>
      <c r="N217" s="2" t="s">
        <v>17</v>
      </c>
      <c r="O217" s="109" t="s">
        <v>18</v>
      </c>
      <c r="P217" s="107"/>
      <c r="Q217" s="4"/>
      <c r="R217" s="99" t="s">
        <v>182</v>
      </c>
    </row>
    <row r="218" spans="1:18" ht="28.5" x14ac:dyDescent="0.45">
      <c r="A218" t="s">
        <v>48</v>
      </c>
      <c r="B218" t="s">
        <v>71</v>
      </c>
      <c r="C218" s="2" t="s">
        <v>52</v>
      </c>
      <c r="D218" t="s">
        <v>32</v>
      </c>
      <c r="E218" s="18">
        <v>0.372</v>
      </c>
      <c r="F218" s="20">
        <v>0.14654113435227215</v>
      </c>
      <c r="G218" s="20">
        <v>0.83345182845712884</v>
      </c>
      <c r="H218" s="2" t="s">
        <v>35</v>
      </c>
      <c r="I218" t="s">
        <v>38</v>
      </c>
      <c r="J218" s="2" t="s">
        <v>51</v>
      </c>
      <c r="K218" t="s">
        <v>32</v>
      </c>
      <c r="L218" s="2" t="s">
        <v>22</v>
      </c>
      <c r="M218" t="s">
        <v>18</v>
      </c>
      <c r="N218" s="2" t="s">
        <v>17</v>
      </c>
      <c r="O218" s="109" t="s">
        <v>18</v>
      </c>
      <c r="P218" s="107"/>
      <c r="Q218" s="4"/>
      <c r="R218" s="99" t="s">
        <v>182</v>
      </c>
    </row>
    <row r="219" spans="1:18" ht="28.5" x14ac:dyDescent="0.45">
      <c r="A219" t="s">
        <v>48</v>
      </c>
      <c r="B219" t="s">
        <v>71</v>
      </c>
      <c r="C219" s="2" t="s">
        <v>52</v>
      </c>
      <c r="D219" t="s">
        <v>32</v>
      </c>
      <c r="E219" s="18">
        <v>0.21099999999999999</v>
      </c>
      <c r="F219" s="20">
        <v>0.13824635316252087</v>
      </c>
      <c r="G219" s="20">
        <v>0.28640956304368687</v>
      </c>
      <c r="H219" s="2" t="s">
        <v>35</v>
      </c>
      <c r="I219" t="s">
        <v>36</v>
      </c>
      <c r="J219" s="2" t="s">
        <v>51</v>
      </c>
      <c r="K219" t="s">
        <v>34</v>
      </c>
      <c r="L219" s="2" t="s">
        <v>22</v>
      </c>
      <c r="M219" t="s">
        <v>18</v>
      </c>
      <c r="N219" s="2" t="s">
        <v>17</v>
      </c>
      <c r="O219" s="109" t="s">
        <v>18</v>
      </c>
      <c r="P219" s="107"/>
      <c r="Q219" s="4"/>
      <c r="R219" s="99" t="s">
        <v>182</v>
      </c>
    </row>
    <row r="220" spans="1:18" ht="28.5" x14ac:dyDescent="0.45">
      <c r="A220" t="s">
        <v>48</v>
      </c>
      <c r="B220" t="s">
        <v>71</v>
      </c>
      <c r="C220" s="2" t="s">
        <v>52</v>
      </c>
      <c r="D220" t="s">
        <v>32</v>
      </c>
      <c r="E220" s="18">
        <v>0.43116763072135306</v>
      </c>
      <c r="F220" s="20">
        <v>0.15760084260527379</v>
      </c>
      <c r="G220" s="20">
        <v>1</v>
      </c>
      <c r="H220" s="2" t="s">
        <v>35</v>
      </c>
      <c r="I220" t="s">
        <v>37</v>
      </c>
      <c r="J220" s="2" t="s">
        <v>51</v>
      </c>
      <c r="K220" t="s">
        <v>34</v>
      </c>
      <c r="L220" s="2" t="s">
        <v>22</v>
      </c>
      <c r="M220" t="s">
        <v>18</v>
      </c>
      <c r="N220" s="2" t="s">
        <v>17</v>
      </c>
      <c r="O220" s="109" t="s">
        <v>18</v>
      </c>
      <c r="P220" s="107"/>
      <c r="Q220" s="4"/>
      <c r="R220" s="99" t="s">
        <v>182</v>
      </c>
    </row>
    <row r="221" spans="1:18" ht="28.5" x14ac:dyDescent="0.45">
      <c r="A221" t="s">
        <v>48</v>
      </c>
      <c r="B221" t="s">
        <v>71</v>
      </c>
      <c r="C221" s="2" t="s">
        <v>52</v>
      </c>
      <c r="D221" t="s">
        <v>32</v>
      </c>
      <c r="E221" s="18">
        <v>0.21099999999999999</v>
      </c>
      <c r="F221" s="20">
        <v>0.13824635316252087</v>
      </c>
      <c r="G221" s="20">
        <v>0.28640956304368687</v>
      </c>
      <c r="H221" s="2" t="s">
        <v>35</v>
      </c>
      <c r="I221" t="s">
        <v>38</v>
      </c>
      <c r="J221" s="2" t="s">
        <v>51</v>
      </c>
      <c r="K221" t="s">
        <v>34</v>
      </c>
      <c r="L221" s="2" t="s">
        <v>22</v>
      </c>
      <c r="M221" t="s">
        <v>18</v>
      </c>
      <c r="N221" s="2" t="s">
        <v>17</v>
      </c>
      <c r="O221" s="109" t="s">
        <v>18</v>
      </c>
      <c r="P221" s="107"/>
      <c r="Q221" s="4"/>
      <c r="R221" s="99" t="s">
        <v>182</v>
      </c>
    </row>
    <row r="222" spans="1:18" ht="28.5" x14ac:dyDescent="0.45">
      <c r="A222" t="s">
        <v>48</v>
      </c>
      <c r="B222" t="s">
        <v>71</v>
      </c>
      <c r="C222" s="2" t="s">
        <v>52</v>
      </c>
      <c r="D222" t="s">
        <v>32</v>
      </c>
      <c r="E222" s="18">
        <v>0.34200000000000003</v>
      </c>
      <c r="F222" s="20">
        <v>0.12749078688647675</v>
      </c>
      <c r="G222" s="20">
        <v>0.80844827360341498</v>
      </c>
      <c r="H222" s="2" t="s">
        <v>35</v>
      </c>
      <c r="I222" t="s">
        <v>36</v>
      </c>
      <c r="J222" s="2" t="s">
        <v>51</v>
      </c>
      <c r="K222" t="s">
        <v>32</v>
      </c>
      <c r="L222" s="2" t="s">
        <v>22</v>
      </c>
      <c r="M222" t="s">
        <v>23</v>
      </c>
      <c r="N222" s="2" t="s">
        <v>17</v>
      </c>
      <c r="O222" s="109" t="s">
        <v>18</v>
      </c>
      <c r="P222" s="107"/>
      <c r="Q222" s="4"/>
      <c r="R222" s="99" t="s">
        <v>182</v>
      </c>
    </row>
    <row r="223" spans="1:18" ht="28.5" x14ac:dyDescent="0.45">
      <c r="A223" t="s">
        <v>48</v>
      </c>
      <c r="B223" t="s">
        <v>71</v>
      </c>
      <c r="C223" s="2" t="s">
        <v>52</v>
      </c>
      <c r="D223" t="s">
        <v>32</v>
      </c>
      <c r="E223" s="18">
        <v>0.69799999999999995</v>
      </c>
      <c r="F223" s="20">
        <v>0.14533949705058349</v>
      </c>
      <c r="G223" s="20">
        <v>1</v>
      </c>
      <c r="H223" s="2" t="s">
        <v>35</v>
      </c>
      <c r="I223" t="s">
        <v>37</v>
      </c>
      <c r="J223" s="2" t="s">
        <v>51</v>
      </c>
      <c r="K223" t="s">
        <v>32</v>
      </c>
      <c r="L223" s="2" t="s">
        <v>22</v>
      </c>
      <c r="M223" t="s">
        <v>23</v>
      </c>
      <c r="N223" s="2" t="s">
        <v>17</v>
      </c>
      <c r="O223" s="109" t="s">
        <v>18</v>
      </c>
      <c r="P223" s="107"/>
      <c r="Q223" s="4"/>
      <c r="R223" s="99" t="s">
        <v>183</v>
      </c>
    </row>
    <row r="224" spans="1:18" ht="28.5" x14ac:dyDescent="0.45">
      <c r="A224" t="s">
        <v>48</v>
      </c>
      <c r="B224" t="s">
        <v>71</v>
      </c>
      <c r="C224" s="2" t="s">
        <v>52</v>
      </c>
      <c r="D224" t="s">
        <v>32</v>
      </c>
      <c r="E224" s="18">
        <v>0.34200000000000003</v>
      </c>
      <c r="F224" s="20">
        <v>0.12749078688647675</v>
      </c>
      <c r="G224" s="20">
        <v>0.80844827360341498</v>
      </c>
      <c r="H224" s="2" t="s">
        <v>35</v>
      </c>
      <c r="I224" t="s">
        <v>38</v>
      </c>
      <c r="J224" s="2" t="s">
        <v>51</v>
      </c>
      <c r="K224" t="s">
        <v>32</v>
      </c>
      <c r="L224" s="2" t="s">
        <v>22</v>
      </c>
      <c r="M224" t="s">
        <v>23</v>
      </c>
      <c r="N224" s="2" t="s">
        <v>17</v>
      </c>
      <c r="O224" s="109" t="s">
        <v>18</v>
      </c>
      <c r="P224" s="107"/>
      <c r="Q224" s="4"/>
      <c r="R224" s="99" t="s">
        <v>182</v>
      </c>
    </row>
    <row r="225" spans="1:18" ht="28.5" x14ac:dyDescent="0.45">
      <c r="A225" t="s">
        <v>48</v>
      </c>
      <c r="B225" t="s">
        <v>71</v>
      </c>
      <c r="C225" s="2" t="s">
        <v>52</v>
      </c>
      <c r="D225" t="s">
        <v>32</v>
      </c>
      <c r="E225" s="18">
        <v>0.19400000000000001</v>
      </c>
      <c r="F225" s="20">
        <v>0.12027432725139316</v>
      </c>
      <c r="G225" s="20">
        <v>0.27781727615237622</v>
      </c>
      <c r="H225" s="2" t="s">
        <v>35</v>
      </c>
      <c r="I225" t="s">
        <v>36</v>
      </c>
      <c r="J225" s="2" t="s">
        <v>51</v>
      </c>
      <c r="K225" t="s">
        <v>34</v>
      </c>
      <c r="L225" s="2" t="s">
        <v>22</v>
      </c>
      <c r="M225" t="s">
        <v>23</v>
      </c>
      <c r="N225" s="2" t="s">
        <v>17</v>
      </c>
      <c r="O225" s="109" t="s">
        <v>18</v>
      </c>
      <c r="P225" s="107"/>
      <c r="Q225" s="4"/>
      <c r="R225" s="99" t="s">
        <v>182</v>
      </c>
    </row>
    <row r="226" spans="1:18" ht="28.5" x14ac:dyDescent="0.45">
      <c r="A226" t="s">
        <v>48</v>
      </c>
      <c r="B226" t="s">
        <v>71</v>
      </c>
      <c r="C226" s="2" t="s">
        <v>52</v>
      </c>
      <c r="D226" t="s">
        <v>32</v>
      </c>
      <c r="E226" s="18">
        <v>0.39667422026364479</v>
      </c>
      <c r="F226" s="20">
        <v>0.13711273306658819</v>
      </c>
      <c r="G226" s="20">
        <v>1</v>
      </c>
      <c r="H226" s="2" t="s">
        <v>35</v>
      </c>
      <c r="I226" t="s">
        <v>37</v>
      </c>
      <c r="J226" s="2" t="s">
        <v>51</v>
      </c>
      <c r="K226" t="s">
        <v>34</v>
      </c>
      <c r="L226" s="2" t="s">
        <v>22</v>
      </c>
      <c r="M226" t="s">
        <v>23</v>
      </c>
      <c r="N226" s="2" t="s">
        <v>17</v>
      </c>
      <c r="O226" s="109" t="s">
        <v>18</v>
      </c>
      <c r="P226" s="107"/>
      <c r="Q226" s="4"/>
      <c r="R226" s="99" t="s">
        <v>182</v>
      </c>
    </row>
    <row r="227" spans="1:18" ht="28.5" x14ac:dyDescent="0.45">
      <c r="A227" t="s">
        <v>48</v>
      </c>
      <c r="B227" t="s">
        <v>71</v>
      </c>
      <c r="C227" s="2" t="s">
        <v>52</v>
      </c>
      <c r="D227" t="s">
        <v>32</v>
      </c>
      <c r="E227" s="18">
        <v>0.19400000000000001</v>
      </c>
      <c r="F227" s="20">
        <v>0.12027432725139316</v>
      </c>
      <c r="G227" s="20">
        <v>0.27781727615237622</v>
      </c>
      <c r="H227" s="2" t="s">
        <v>35</v>
      </c>
      <c r="I227" t="s">
        <v>38</v>
      </c>
      <c r="J227" s="2" t="s">
        <v>51</v>
      </c>
      <c r="K227" t="s">
        <v>34</v>
      </c>
      <c r="L227" s="2" t="s">
        <v>22</v>
      </c>
      <c r="M227" t="s">
        <v>23</v>
      </c>
      <c r="N227" s="2" t="s">
        <v>17</v>
      </c>
      <c r="O227" s="109" t="s">
        <v>18</v>
      </c>
      <c r="P227" s="107"/>
      <c r="Q227" s="4"/>
      <c r="R227" s="99" t="s">
        <v>182</v>
      </c>
    </row>
    <row r="228" spans="1:18" ht="28.5" x14ac:dyDescent="0.45">
      <c r="A228" t="s">
        <v>48</v>
      </c>
      <c r="B228" t="s">
        <v>71</v>
      </c>
      <c r="C228" s="2" t="s">
        <v>52</v>
      </c>
      <c r="D228" t="s">
        <v>32</v>
      </c>
      <c r="E228" s="18">
        <v>0.18971375751739536</v>
      </c>
      <c r="F228" s="18">
        <v>3.9566106275113477E-2</v>
      </c>
      <c r="G228" s="18">
        <v>0.80011375531884366</v>
      </c>
      <c r="H228" s="2" t="s">
        <v>35</v>
      </c>
      <c r="I228" t="s">
        <v>36</v>
      </c>
      <c r="J228" s="2" t="s">
        <v>51</v>
      </c>
      <c r="K228" t="s">
        <v>32</v>
      </c>
      <c r="L228" s="2" t="s">
        <v>22</v>
      </c>
      <c r="M228" t="s">
        <v>18</v>
      </c>
      <c r="N228" s="2" t="s">
        <v>17</v>
      </c>
      <c r="O228" s="109" t="s">
        <v>19</v>
      </c>
      <c r="P228" s="107"/>
      <c r="Q228" s="4"/>
      <c r="R228" s="99" t="s">
        <v>182</v>
      </c>
    </row>
    <row r="229" spans="1:18" ht="28.5" x14ac:dyDescent="0.45">
      <c r="A229" t="s">
        <v>48</v>
      </c>
      <c r="B229" t="s">
        <v>71</v>
      </c>
      <c r="C229" s="2" t="s">
        <v>52</v>
      </c>
      <c r="D229" t="s">
        <v>32</v>
      </c>
      <c r="E229" s="18">
        <v>0.38701606533548655</v>
      </c>
      <c r="F229" s="18">
        <v>4.5105361153629363E-2</v>
      </c>
      <c r="G229" s="18">
        <v>1</v>
      </c>
      <c r="H229" s="2" t="s">
        <v>35</v>
      </c>
      <c r="I229" t="s">
        <v>37</v>
      </c>
      <c r="J229" s="2" t="s">
        <v>51</v>
      </c>
      <c r="K229" t="s">
        <v>32</v>
      </c>
      <c r="L229" s="2" t="s">
        <v>22</v>
      </c>
      <c r="M229" t="s">
        <v>18</v>
      </c>
      <c r="N229" s="2" t="s">
        <v>17</v>
      </c>
      <c r="O229" s="109" t="s">
        <v>19</v>
      </c>
      <c r="P229" s="107"/>
      <c r="Q229" s="4"/>
      <c r="R229" s="99" t="s">
        <v>182</v>
      </c>
    </row>
    <row r="230" spans="1:18" ht="28.5" x14ac:dyDescent="0.45">
      <c r="A230" t="s">
        <v>48</v>
      </c>
      <c r="B230" t="s">
        <v>71</v>
      </c>
      <c r="C230" s="2" t="s">
        <v>52</v>
      </c>
      <c r="D230" t="s">
        <v>32</v>
      </c>
      <c r="E230" s="18">
        <v>0.18971375751739536</v>
      </c>
      <c r="F230" s="18">
        <v>3.9566106275113477E-2</v>
      </c>
      <c r="G230" s="18">
        <v>0.80011375531884366</v>
      </c>
      <c r="H230" s="2" t="s">
        <v>35</v>
      </c>
      <c r="I230" t="s">
        <v>38</v>
      </c>
      <c r="J230" s="2" t="s">
        <v>51</v>
      </c>
      <c r="K230" t="s">
        <v>32</v>
      </c>
      <c r="L230" s="2" t="s">
        <v>22</v>
      </c>
      <c r="M230" t="s">
        <v>18</v>
      </c>
      <c r="N230" s="2" t="s">
        <v>17</v>
      </c>
      <c r="O230" s="109" t="s">
        <v>19</v>
      </c>
      <c r="P230" s="107"/>
      <c r="Q230" s="4"/>
      <c r="R230" s="99" t="s">
        <v>182</v>
      </c>
    </row>
    <row r="231" spans="1:18" ht="28.5" x14ac:dyDescent="0.45">
      <c r="A231" t="s">
        <v>48</v>
      </c>
      <c r="B231" t="s">
        <v>71</v>
      </c>
      <c r="C231" s="2" t="s">
        <v>52</v>
      </c>
      <c r="D231" t="s">
        <v>32</v>
      </c>
      <c r="E231" s="18">
        <v>0.10779190768033826</v>
      </c>
      <c r="F231" s="18">
        <v>3.7326515353880638E-2</v>
      </c>
      <c r="G231" s="18">
        <v>0.2749531805219394</v>
      </c>
      <c r="H231" s="2" t="s">
        <v>35</v>
      </c>
      <c r="I231" t="s">
        <v>36</v>
      </c>
      <c r="J231" s="2" t="s">
        <v>51</v>
      </c>
      <c r="K231" t="s">
        <v>34</v>
      </c>
      <c r="L231" s="2" t="s">
        <v>22</v>
      </c>
      <c r="M231" t="s">
        <v>18</v>
      </c>
      <c r="N231" s="2" t="s">
        <v>17</v>
      </c>
      <c r="O231" s="109" t="s">
        <v>19</v>
      </c>
      <c r="P231" s="107"/>
      <c r="Q231" s="4"/>
      <c r="R231" s="99" t="s">
        <v>182</v>
      </c>
    </row>
    <row r="232" spans="1:18" ht="28.5" x14ac:dyDescent="0.45">
      <c r="A232" t="s">
        <v>48</v>
      </c>
      <c r="B232" t="s">
        <v>71</v>
      </c>
      <c r="C232" s="2" t="s">
        <v>52</v>
      </c>
      <c r="D232" t="s">
        <v>32</v>
      </c>
      <c r="E232" s="18">
        <v>0.21989549166789005</v>
      </c>
      <c r="F232" s="18">
        <v>4.2552227503423926E-2</v>
      </c>
      <c r="G232" s="18">
        <v>1</v>
      </c>
      <c r="H232" s="2" t="s">
        <v>35</v>
      </c>
      <c r="I232" t="s">
        <v>37</v>
      </c>
      <c r="J232" s="2" t="s">
        <v>51</v>
      </c>
      <c r="K232" t="s">
        <v>34</v>
      </c>
      <c r="L232" s="2" t="s">
        <v>22</v>
      </c>
      <c r="M232" t="s">
        <v>18</v>
      </c>
      <c r="N232" s="2" t="s">
        <v>17</v>
      </c>
      <c r="O232" s="109" t="s">
        <v>19</v>
      </c>
      <c r="P232" s="107"/>
      <c r="Q232" s="4"/>
      <c r="R232" s="99" t="s">
        <v>182</v>
      </c>
    </row>
    <row r="233" spans="1:18" ht="28.5" x14ac:dyDescent="0.45">
      <c r="A233" t="s">
        <v>48</v>
      </c>
      <c r="B233" t="s">
        <v>71</v>
      </c>
      <c r="C233" s="2" t="s">
        <v>52</v>
      </c>
      <c r="D233" t="s">
        <v>32</v>
      </c>
      <c r="E233" s="18">
        <v>0.10779190768033826</v>
      </c>
      <c r="F233" s="18">
        <v>3.7326515353880638E-2</v>
      </c>
      <c r="G233" s="18">
        <v>0.2749531805219394</v>
      </c>
      <c r="H233" s="2" t="s">
        <v>35</v>
      </c>
      <c r="I233" t="s">
        <v>38</v>
      </c>
      <c r="J233" s="2" t="s">
        <v>51</v>
      </c>
      <c r="K233" t="s">
        <v>34</v>
      </c>
      <c r="L233" s="2" t="s">
        <v>22</v>
      </c>
      <c r="M233" t="s">
        <v>18</v>
      </c>
      <c r="N233" s="2" t="s">
        <v>17</v>
      </c>
      <c r="O233" s="109" t="s">
        <v>19</v>
      </c>
      <c r="P233" s="107"/>
      <c r="Q233" s="4"/>
      <c r="R233" s="99" t="s">
        <v>182</v>
      </c>
    </row>
    <row r="234" spans="1:18" ht="28.5" x14ac:dyDescent="0.45">
      <c r="A234" t="s">
        <v>48</v>
      </c>
      <c r="B234" t="s">
        <v>71</v>
      </c>
      <c r="C234" s="2" t="s">
        <v>52</v>
      </c>
      <c r="D234" t="s">
        <v>32</v>
      </c>
      <c r="E234" s="18">
        <v>0.1745366569160037</v>
      </c>
      <c r="F234" s="18">
        <v>3.4422512459348728E-2</v>
      </c>
      <c r="G234" s="18">
        <v>0.77611034265927836</v>
      </c>
      <c r="H234" s="2" t="s">
        <v>35</v>
      </c>
      <c r="I234" t="s">
        <v>36</v>
      </c>
      <c r="J234" s="2" t="s">
        <v>51</v>
      </c>
      <c r="K234" t="s">
        <v>32</v>
      </c>
      <c r="L234" s="2" t="s">
        <v>22</v>
      </c>
      <c r="M234" t="s">
        <v>23</v>
      </c>
      <c r="N234" s="2" t="s">
        <v>17</v>
      </c>
      <c r="O234" s="109" t="s">
        <v>19</v>
      </c>
      <c r="P234" s="107"/>
      <c r="Q234" s="4"/>
      <c r="R234" s="99" t="s">
        <v>182</v>
      </c>
    </row>
    <row r="235" spans="1:18" ht="28.5" x14ac:dyDescent="0.45">
      <c r="A235" t="s">
        <v>48</v>
      </c>
      <c r="B235" t="s">
        <v>71</v>
      </c>
      <c r="C235" s="2" t="s">
        <v>52</v>
      </c>
      <c r="D235" t="s">
        <v>32</v>
      </c>
      <c r="E235" s="18">
        <v>0.35605478010864766</v>
      </c>
      <c r="F235" s="18">
        <v>3.9241664203657545E-2</v>
      </c>
      <c r="G235" s="18">
        <v>1</v>
      </c>
      <c r="H235" s="2" t="s">
        <v>35</v>
      </c>
      <c r="I235" t="s">
        <v>37</v>
      </c>
      <c r="J235" s="2" t="s">
        <v>51</v>
      </c>
      <c r="K235" t="s">
        <v>32</v>
      </c>
      <c r="L235" s="2" t="s">
        <v>22</v>
      </c>
      <c r="M235" t="s">
        <v>23</v>
      </c>
      <c r="N235" s="2" t="s">
        <v>17</v>
      </c>
      <c r="O235" s="109" t="s">
        <v>19</v>
      </c>
      <c r="P235" s="107"/>
      <c r="Q235" s="4"/>
      <c r="R235" s="99" t="s">
        <v>182</v>
      </c>
    </row>
    <row r="236" spans="1:18" ht="28.5" x14ac:dyDescent="0.45">
      <c r="A236" t="s">
        <v>48</v>
      </c>
      <c r="B236" t="s">
        <v>71</v>
      </c>
      <c r="C236" s="2" t="s">
        <v>52</v>
      </c>
      <c r="D236" t="s">
        <v>32</v>
      </c>
      <c r="E236" s="18">
        <v>0.1745366569160037</v>
      </c>
      <c r="F236" s="18">
        <v>3.4422512459348728E-2</v>
      </c>
      <c r="G236" s="18">
        <v>0.77611034265927836</v>
      </c>
      <c r="H236" s="2" t="s">
        <v>35</v>
      </c>
      <c r="I236" t="s">
        <v>38</v>
      </c>
      <c r="J236" s="2" t="s">
        <v>51</v>
      </c>
      <c r="K236" t="s">
        <v>32</v>
      </c>
      <c r="L236" s="2" t="s">
        <v>22</v>
      </c>
      <c r="M236" t="s">
        <v>23</v>
      </c>
      <c r="N236" s="2" t="s">
        <v>17</v>
      </c>
      <c r="O236" s="109" t="s">
        <v>19</v>
      </c>
      <c r="P236" s="107"/>
      <c r="Q236" s="4"/>
      <c r="R236" s="99" t="s">
        <v>182</v>
      </c>
    </row>
    <row r="237" spans="1:18" ht="28.5" x14ac:dyDescent="0.45">
      <c r="A237" t="s">
        <v>48</v>
      </c>
      <c r="B237" t="s">
        <v>71</v>
      </c>
      <c r="C237" s="2" t="s">
        <v>52</v>
      </c>
      <c r="D237" t="s">
        <v>32</v>
      </c>
      <c r="E237" s="18">
        <v>9.9168555065911199E-2</v>
      </c>
      <c r="F237" s="18">
        <v>3.2474068357876154E-2</v>
      </c>
      <c r="G237" s="18">
        <v>0.2667045851062812</v>
      </c>
      <c r="H237" s="2" t="s">
        <v>35</v>
      </c>
      <c r="I237" t="s">
        <v>36</v>
      </c>
      <c r="J237" s="2" t="s">
        <v>51</v>
      </c>
      <c r="K237" t="s">
        <v>34</v>
      </c>
      <c r="L237" s="2" t="s">
        <v>22</v>
      </c>
      <c r="M237" t="s">
        <v>23</v>
      </c>
      <c r="N237" s="2" t="s">
        <v>17</v>
      </c>
      <c r="O237" s="109" t="s">
        <v>19</v>
      </c>
      <c r="P237" s="107"/>
      <c r="Q237" s="4"/>
      <c r="R237" s="99" t="s">
        <v>182</v>
      </c>
    </row>
    <row r="238" spans="1:18" ht="28.5" x14ac:dyDescent="0.45">
      <c r="A238" t="s">
        <v>48</v>
      </c>
      <c r="B238" t="s">
        <v>71</v>
      </c>
      <c r="C238" s="2" t="s">
        <v>52</v>
      </c>
      <c r="D238" t="s">
        <v>32</v>
      </c>
      <c r="E238" s="18">
        <v>0.20230385233445886</v>
      </c>
      <c r="F238" s="18">
        <v>3.7020437927978808E-2</v>
      </c>
      <c r="G238" s="18">
        <v>0.97347173563792633</v>
      </c>
      <c r="H238" s="2" t="s">
        <v>35</v>
      </c>
      <c r="I238" t="s">
        <v>37</v>
      </c>
      <c r="J238" s="2" t="s">
        <v>51</v>
      </c>
      <c r="K238" t="s">
        <v>34</v>
      </c>
      <c r="L238" s="2" t="s">
        <v>22</v>
      </c>
      <c r="M238" t="s">
        <v>23</v>
      </c>
      <c r="N238" s="2" t="s">
        <v>17</v>
      </c>
      <c r="O238" s="109" t="s">
        <v>19</v>
      </c>
      <c r="P238" s="107"/>
      <c r="Q238" s="4"/>
      <c r="R238" s="99" t="s">
        <v>182</v>
      </c>
    </row>
    <row r="239" spans="1:18" ht="28.5" x14ac:dyDescent="0.45">
      <c r="A239" t="s">
        <v>48</v>
      </c>
      <c r="B239" t="s">
        <v>71</v>
      </c>
      <c r="C239" s="2" t="s">
        <v>52</v>
      </c>
      <c r="D239" t="s">
        <v>32</v>
      </c>
      <c r="E239" s="18">
        <v>9.9168555065911199E-2</v>
      </c>
      <c r="F239" s="18">
        <v>3.2474068357876154E-2</v>
      </c>
      <c r="G239" s="18">
        <v>0.2667045851062812</v>
      </c>
      <c r="H239" s="2" t="s">
        <v>35</v>
      </c>
      <c r="I239" t="s">
        <v>38</v>
      </c>
      <c r="J239" s="2" t="s">
        <v>51</v>
      </c>
      <c r="K239" t="s">
        <v>34</v>
      </c>
      <c r="L239" s="2" t="s">
        <v>22</v>
      </c>
      <c r="M239" t="s">
        <v>23</v>
      </c>
      <c r="N239" s="2" t="s">
        <v>17</v>
      </c>
      <c r="O239" s="109" t="s">
        <v>19</v>
      </c>
      <c r="P239" s="107"/>
      <c r="Q239" s="4"/>
      <c r="R239" s="99" t="s">
        <v>182</v>
      </c>
    </row>
    <row r="240" spans="1:18" x14ac:dyDescent="0.45">
      <c r="A240" t="s">
        <v>48</v>
      </c>
      <c r="B240" t="s">
        <v>71</v>
      </c>
      <c r="C240" s="2" t="s">
        <v>53</v>
      </c>
      <c r="D240" t="s">
        <v>18</v>
      </c>
      <c r="E240" s="18">
        <v>0.95730000000000004</v>
      </c>
      <c r="F240" s="20">
        <v>0.94730000000000003</v>
      </c>
      <c r="G240" s="20">
        <v>0.96730000000000005</v>
      </c>
      <c r="H240" s="2" t="s">
        <v>52</v>
      </c>
      <c r="I240" t="s">
        <v>32</v>
      </c>
      <c r="J240" s="2" t="s">
        <v>35</v>
      </c>
      <c r="K240" t="s">
        <v>36</v>
      </c>
      <c r="L240" s="2"/>
      <c r="N240" s="2"/>
      <c r="O240" s="109"/>
      <c r="P240" s="107"/>
      <c r="Q240" s="4"/>
      <c r="R240" s="99"/>
    </row>
    <row r="241" spans="1:18" ht="28.5" x14ac:dyDescent="0.45">
      <c r="A241" t="s">
        <v>48</v>
      </c>
      <c r="B241" t="s">
        <v>71</v>
      </c>
      <c r="C241" s="2" t="s">
        <v>53</v>
      </c>
      <c r="D241" t="s">
        <v>54</v>
      </c>
      <c r="E241" s="18">
        <v>4.2700000000000002E-2</v>
      </c>
      <c r="F241" s="20">
        <v>3.27E-2</v>
      </c>
      <c r="G241" s="20">
        <v>5.2700000000000004E-2</v>
      </c>
      <c r="H241" s="2" t="s">
        <v>52</v>
      </c>
      <c r="I241" t="s">
        <v>32</v>
      </c>
      <c r="J241" s="2" t="s">
        <v>35</v>
      </c>
      <c r="K241" t="s">
        <v>36</v>
      </c>
      <c r="L241" s="2"/>
      <c r="N241" s="2"/>
      <c r="O241" s="109"/>
      <c r="P241" s="107"/>
      <c r="Q241" s="4"/>
      <c r="R241" s="99" t="s">
        <v>184</v>
      </c>
    </row>
    <row r="242" spans="1:18" x14ac:dyDescent="0.45">
      <c r="A242" t="s">
        <v>48</v>
      </c>
      <c r="B242" t="s">
        <v>71</v>
      </c>
      <c r="C242" s="2" t="s">
        <v>53</v>
      </c>
      <c r="D242" t="s">
        <v>55</v>
      </c>
      <c r="E242" s="18">
        <v>0</v>
      </c>
      <c r="F242" s="18">
        <v>0</v>
      </c>
      <c r="G242" s="18">
        <v>0</v>
      </c>
      <c r="H242" s="2" t="s">
        <v>52</v>
      </c>
      <c r="I242" t="s">
        <v>32</v>
      </c>
      <c r="J242" s="2" t="s">
        <v>35</v>
      </c>
      <c r="K242" t="s">
        <v>36</v>
      </c>
      <c r="L242" s="2"/>
      <c r="N242" s="2"/>
      <c r="O242" s="109"/>
      <c r="P242" s="107"/>
      <c r="Q242" s="4"/>
      <c r="R242" s="99"/>
    </row>
    <row r="243" spans="1:18" x14ac:dyDescent="0.45">
      <c r="A243" t="s">
        <v>48</v>
      </c>
      <c r="B243" t="s">
        <v>71</v>
      </c>
      <c r="C243" s="2" t="s">
        <v>53</v>
      </c>
      <c r="D243" t="s">
        <v>18</v>
      </c>
      <c r="E243" s="18">
        <v>1</v>
      </c>
      <c r="F243" s="18">
        <v>1</v>
      </c>
      <c r="G243" s="18">
        <v>1</v>
      </c>
      <c r="H243" s="2" t="s">
        <v>52</v>
      </c>
      <c r="I243" t="s">
        <v>34</v>
      </c>
      <c r="J243" s="2" t="s">
        <v>35</v>
      </c>
      <c r="K243" t="s">
        <v>36</v>
      </c>
      <c r="L243" s="2"/>
      <c r="N243" s="2"/>
      <c r="O243" s="109"/>
      <c r="P243" s="107"/>
      <c r="Q243" s="4"/>
      <c r="R243" s="99" t="s">
        <v>185</v>
      </c>
    </row>
    <row r="244" spans="1:18" x14ac:dyDescent="0.45">
      <c r="A244" t="s">
        <v>48</v>
      </c>
      <c r="B244" t="s">
        <v>71</v>
      </c>
      <c r="C244" s="2" t="s">
        <v>53</v>
      </c>
      <c r="D244" t="s">
        <v>54</v>
      </c>
      <c r="E244" s="18">
        <v>0</v>
      </c>
      <c r="F244" s="18">
        <v>0</v>
      </c>
      <c r="G244" s="18">
        <v>0</v>
      </c>
      <c r="H244" s="2" t="s">
        <v>52</v>
      </c>
      <c r="I244" t="s">
        <v>34</v>
      </c>
      <c r="J244" s="2" t="s">
        <v>35</v>
      </c>
      <c r="K244" t="s">
        <v>36</v>
      </c>
      <c r="L244" s="2"/>
      <c r="N244" s="2"/>
      <c r="O244" s="109"/>
      <c r="P244" s="107"/>
      <c r="Q244" s="4"/>
      <c r="R244" s="99" t="s">
        <v>185</v>
      </c>
    </row>
    <row r="245" spans="1:18" x14ac:dyDescent="0.45">
      <c r="A245" t="s">
        <v>48</v>
      </c>
      <c r="B245" t="s">
        <v>71</v>
      </c>
      <c r="C245" s="2" t="s">
        <v>53</v>
      </c>
      <c r="D245" t="s">
        <v>55</v>
      </c>
      <c r="E245" s="18">
        <v>0</v>
      </c>
      <c r="F245" s="18">
        <v>0</v>
      </c>
      <c r="G245" s="18">
        <v>0</v>
      </c>
      <c r="H245" s="2" t="s">
        <v>52</v>
      </c>
      <c r="I245" t="s">
        <v>34</v>
      </c>
      <c r="J245" s="2" t="s">
        <v>35</v>
      </c>
      <c r="K245" t="s">
        <v>36</v>
      </c>
      <c r="L245" s="2"/>
      <c r="N245" s="2"/>
      <c r="O245" s="109"/>
      <c r="P245" s="107"/>
      <c r="Q245" s="4"/>
      <c r="R245" s="99" t="s">
        <v>185</v>
      </c>
    </row>
    <row r="246" spans="1:18" x14ac:dyDescent="0.45">
      <c r="A246" t="s">
        <v>48</v>
      </c>
      <c r="B246" t="s">
        <v>71</v>
      </c>
      <c r="C246" s="2" t="s">
        <v>53</v>
      </c>
      <c r="D246" t="s">
        <v>18</v>
      </c>
      <c r="E246" s="18">
        <v>0.95730000000000004</v>
      </c>
      <c r="F246" s="18">
        <v>0.94730000000000003</v>
      </c>
      <c r="G246" s="18">
        <v>0.96730000000000005</v>
      </c>
      <c r="H246" s="2" t="s">
        <v>52</v>
      </c>
      <c r="I246" t="s">
        <v>32</v>
      </c>
      <c r="J246" s="2" t="s">
        <v>35</v>
      </c>
      <c r="K246" t="s">
        <v>37</v>
      </c>
      <c r="L246" s="2"/>
      <c r="N246" s="2"/>
      <c r="O246" s="109"/>
      <c r="P246" s="107"/>
      <c r="Q246" s="4"/>
      <c r="R246" s="99"/>
    </row>
    <row r="247" spans="1:18" x14ac:dyDescent="0.45">
      <c r="A247" t="s">
        <v>48</v>
      </c>
      <c r="B247" t="s">
        <v>71</v>
      </c>
      <c r="C247" s="2" t="s">
        <v>53</v>
      </c>
      <c r="D247" t="s">
        <v>54</v>
      </c>
      <c r="E247" s="18">
        <v>0</v>
      </c>
      <c r="F247" s="18">
        <v>0</v>
      </c>
      <c r="G247" s="18">
        <v>0</v>
      </c>
      <c r="H247" s="2" t="s">
        <v>52</v>
      </c>
      <c r="I247" t="s">
        <v>32</v>
      </c>
      <c r="J247" s="2" t="s">
        <v>35</v>
      </c>
      <c r="K247" t="s">
        <v>37</v>
      </c>
      <c r="L247" s="2"/>
      <c r="N247" s="2"/>
      <c r="O247" s="109"/>
      <c r="P247" s="107"/>
      <c r="Q247" s="4"/>
      <c r="R247" s="99"/>
    </row>
    <row r="248" spans="1:18" ht="28.5" x14ac:dyDescent="0.45">
      <c r="A248" t="s">
        <v>48</v>
      </c>
      <c r="B248" t="s">
        <v>71</v>
      </c>
      <c r="C248" s="2" t="s">
        <v>53</v>
      </c>
      <c r="D248" t="s">
        <v>55</v>
      </c>
      <c r="E248" s="18">
        <v>4.2700000000000002E-2</v>
      </c>
      <c r="F248" s="18">
        <v>3.27E-2</v>
      </c>
      <c r="G248" s="18">
        <v>5.2700000000000004E-2</v>
      </c>
      <c r="H248" s="2" t="s">
        <v>52</v>
      </c>
      <c r="I248" t="s">
        <v>32</v>
      </c>
      <c r="J248" s="2" t="s">
        <v>35</v>
      </c>
      <c r="K248" t="s">
        <v>37</v>
      </c>
      <c r="L248" s="2"/>
      <c r="N248" s="2"/>
      <c r="O248" s="109"/>
      <c r="P248" s="107"/>
      <c r="Q248" s="4"/>
      <c r="R248" s="99" t="s">
        <v>184</v>
      </c>
    </row>
    <row r="249" spans="1:18" x14ac:dyDescent="0.45">
      <c r="A249" t="s">
        <v>48</v>
      </c>
      <c r="B249" t="s">
        <v>71</v>
      </c>
      <c r="C249" s="2" t="s">
        <v>53</v>
      </c>
      <c r="D249" t="s">
        <v>18</v>
      </c>
      <c r="E249" s="18">
        <v>1</v>
      </c>
      <c r="F249" s="18">
        <v>1</v>
      </c>
      <c r="G249" s="18">
        <v>1</v>
      </c>
      <c r="H249" s="2" t="s">
        <v>52</v>
      </c>
      <c r="I249" t="s">
        <v>34</v>
      </c>
      <c r="J249" s="2" t="s">
        <v>35</v>
      </c>
      <c r="K249" t="s">
        <v>37</v>
      </c>
      <c r="L249" s="2"/>
      <c r="N249" s="2"/>
      <c r="O249" s="109"/>
      <c r="P249" s="107"/>
      <c r="Q249" s="4"/>
      <c r="R249" s="99" t="s">
        <v>185</v>
      </c>
    </row>
    <row r="250" spans="1:18" x14ac:dyDescent="0.45">
      <c r="A250" t="s">
        <v>48</v>
      </c>
      <c r="B250" t="s">
        <v>71</v>
      </c>
      <c r="C250" s="2" t="s">
        <v>53</v>
      </c>
      <c r="D250" t="s">
        <v>54</v>
      </c>
      <c r="E250" s="18">
        <v>0</v>
      </c>
      <c r="F250" s="18">
        <v>0</v>
      </c>
      <c r="G250" s="18">
        <v>0</v>
      </c>
      <c r="H250" s="2" t="s">
        <v>52</v>
      </c>
      <c r="I250" t="s">
        <v>34</v>
      </c>
      <c r="J250" s="2" t="s">
        <v>35</v>
      </c>
      <c r="K250" t="s">
        <v>37</v>
      </c>
      <c r="L250" s="2"/>
      <c r="N250" s="2"/>
      <c r="O250" s="109"/>
      <c r="P250" s="107"/>
      <c r="Q250" s="4"/>
      <c r="R250" s="99" t="s">
        <v>185</v>
      </c>
    </row>
    <row r="251" spans="1:18" x14ac:dyDescent="0.45">
      <c r="A251" t="s">
        <v>48</v>
      </c>
      <c r="B251" t="s">
        <v>71</v>
      </c>
      <c r="C251" s="2" t="s">
        <v>53</v>
      </c>
      <c r="D251" t="s">
        <v>55</v>
      </c>
      <c r="E251" s="18">
        <v>0</v>
      </c>
      <c r="F251" s="18">
        <v>0</v>
      </c>
      <c r="G251" s="18">
        <v>0</v>
      </c>
      <c r="H251" s="2" t="s">
        <v>52</v>
      </c>
      <c r="I251" t="s">
        <v>34</v>
      </c>
      <c r="J251" s="2" t="s">
        <v>35</v>
      </c>
      <c r="K251" t="s">
        <v>37</v>
      </c>
      <c r="L251" s="2"/>
      <c r="N251" s="2"/>
      <c r="O251" s="109"/>
      <c r="P251" s="107"/>
      <c r="Q251" s="4"/>
      <c r="R251" s="99" t="s">
        <v>185</v>
      </c>
    </row>
    <row r="252" spans="1:18" x14ac:dyDescent="0.45">
      <c r="A252" t="s">
        <v>48</v>
      </c>
      <c r="B252" t="s">
        <v>71</v>
      </c>
      <c r="C252" s="2" t="s">
        <v>53</v>
      </c>
      <c r="D252" t="s">
        <v>18</v>
      </c>
      <c r="E252" s="18">
        <v>0.95730000000000004</v>
      </c>
      <c r="F252" s="18">
        <v>0.94730000000000003</v>
      </c>
      <c r="G252" s="18">
        <v>0.96730000000000005</v>
      </c>
      <c r="H252" s="2" t="s">
        <v>52</v>
      </c>
      <c r="I252" t="s">
        <v>32</v>
      </c>
      <c r="J252" s="2" t="s">
        <v>35</v>
      </c>
      <c r="K252" t="s">
        <v>38</v>
      </c>
      <c r="L252" s="2"/>
      <c r="N252" s="2"/>
      <c r="O252" s="109"/>
      <c r="P252" s="107"/>
      <c r="Q252" s="4"/>
      <c r="R252" s="99"/>
    </row>
    <row r="253" spans="1:18" x14ac:dyDescent="0.45">
      <c r="A253" t="s">
        <v>48</v>
      </c>
      <c r="B253" t="s">
        <v>71</v>
      </c>
      <c r="C253" s="2" t="s">
        <v>53</v>
      </c>
      <c r="D253" t="s">
        <v>54</v>
      </c>
      <c r="E253" s="18">
        <v>0</v>
      </c>
      <c r="F253" s="18">
        <v>0</v>
      </c>
      <c r="G253" s="18">
        <v>0</v>
      </c>
      <c r="H253" s="2" t="s">
        <v>52</v>
      </c>
      <c r="I253" t="s">
        <v>32</v>
      </c>
      <c r="J253" s="2" t="s">
        <v>35</v>
      </c>
      <c r="K253" t="s">
        <v>38</v>
      </c>
      <c r="L253" s="2"/>
      <c r="N253" s="2"/>
      <c r="O253" s="109"/>
      <c r="P253" s="107"/>
      <c r="Q253" s="4"/>
      <c r="R253" s="99"/>
    </row>
    <row r="254" spans="1:18" ht="28.5" x14ac:dyDescent="0.45">
      <c r="A254" t="s">
        <v>48</v>
      </c>
      <c r="B254" t="s">
        <v>71</v>
      </c>
      <c r="C254" s="2" t="s">
        <v>53</v>
      </c>
      <c r="D254" t="s">
        <v>55</v>
      </c>
      <c r="E254" s="18">
        <v>4.2700000000000002E-2</v>
      </c>
      <c r="F254" s="18">
        <v>3.27E-2</v>
      </c>
      <c r="G254" s="18">
        <v>5.2700000000000004E-2</v>
      </c>
      <c r="H254" s="2" t="s">
        <v>52</v>
      </c>
      <c r="I254" t="s">
        <v>32</v>
      </c>
      <c r="J254" s="2" t="s">
        <v>35</v>
      </c>
      <c r="K254" t="s">
        <v>38</v>
      </c>
      <c r="L254" s="2"/>
      <c r="N254" s="2"/>
      <c r="O254" s="109"/>
      <c r="P254" s="107"/>
      <c r="Q254" s="4"/>
      <c r="R254" s="99" t="s">
        <v>184</v>
      </c>
    </row>
    <row r="255" spans="1:18" x14ac:dyDescent="0.45">
      <c r="A255" t="s">
        <v>48</v>
      </c>
      <c r="B255" t="s">
        <v>71</v>
      </c>
      <c r="C255" s="2" t="s">
        <v>53</v>
      </c>
      <c r="D255" t="s">
        <v>18</v>
      </c>
      <c r="E255" s="18">
        <v>1</v>
      </c>
      <c r="F255" s="18">
        <v>1</v>
      </c>
      <c r="G255" s="18">
        <v>1</v>
      </c>
      <c r="H255" s="2" t="s">
        <v>52</v>
      </c>
      <c r="I255" t="s">
        <v>34</v>
      </c>
      <c r="J255" s="2" t="s">
        <v>35</v>
      </c>
      <c r="K255" t="s">
        <v>38</v>
      </c>
      <c r="L255" s="2"/>
      <c r="N255" s="2"/>
      <c r="O255" s="109"/>
      <c r="P255" s="107"/>
      <c r="Q255" s="4"/>
      <c r="R255" s="99" t="s">
        <v>185</v>
      </c>
    </row>
    <row r="256" spans="1:18" x14ac:dyDescent="0.45">
      <c r="A256" t="s">
        <v>48</v>
      </c>
      <c r="B256" t="s">
        <v>71</v>
      </c>
      <c r="C256" s="2" t="s">
        <v>53</v>
      </c>
      <c r="D256" t="s">
        <v>54</v>
      </c>
      <c r="E256" s="18">
        <v>0</v>
      </c>
      <c r="F256" s="18">
        <v>0</v>
      </c>
      <c r="G256" s="18">
        <v>0</v>
      </c>
      <c r="H256" s="2" t="s">
        <v>52</v>
      </c>
      <c r="I256" t="s">
        <v>34</v>
      </c>
      <c r="J256" s="2" t="s">
        <v>35</v>
      </c>
      <c r="K256" t="s">
        <v>38</v>
      </c>
      <c r="L256" s="2"/>
      <c r="N256" s="2"/>
      <c r="O256" s="109"/>
      <c r="P256" s="107"/>
      <c r="Q256" s="4"/>
      <c r="R256" s="99" t="s">
        <v>185</v>
      </c>
    </row>
    <row r="257" spans="1:18" x14ac:dyDescent="0.45">
      <c r="A257" t="s">
        <v>48</v>
      </c>
      <c r="B257" t="s">
        <v>71</v>
      </c>
      <c r="C257" s="2" t="s">
        <v>53</v>
      </c>
      <c r="D257" t="s">
        <v>55</v>
      </c>
      <c r="E257" s="18">
        <v>0</v>
      </c>
      <c r="F257" s="18">
        <v>0</v>
      </c>
      <c r="G257" s="18">
        <v>0</v>
      </c>
      <c r="H257" s="2" t="s">
        <v>52</v>
      </c>
      <c r="I257" t="s">
        <v>34</v>
      </c>
      <c r="J257" s="2" t="s">
        <v>35</v>
      </c>
      <c r="K257" t="s">
        <v>38</v>
      </c>
      <c r="L257" s="2"/>
      <c r="N257" s="2"/>
      <c r="O257" s="109"/>
      <c r="P257" s="107"/>
      <c r="Q257" s="4"/>
      <c r="R257" s="99" t="s">
        <v>185</v>
      </c>
    </row>
    <row r="258" spans="1:18" x14ac:dyDescent="0.45">
      <c r="A258" t="s">
        <v>48</v>
      </c>
      <c r="B258" t="s">
        <v>72</v>
      </c>
      <c r="C258" s="2" t="s">
        <v>22</v>
      </c>
      <c r="D258" t="s">
        <v>18</v>
      </c>
      <c r="E258" s="18">
        <v>0.65600000000000003</v>
      </c>
      <c r="F258" s="22">
        <v>0.55600000000000005</v>
      </c>
      <c r="G258" s="22">
        <v>0.75600000000000001</v>
      </c>
      <c r="H258" s="2"/>
      <c r="J258" s="2"/>
      <c r="L258" s="2"/>
      <c r="N258" s="2"/>
      <c r="O258" s="109"/>
      <c r="P258" s="107"/>
      <c r="Q258" s="4"/>
      <c r="R258" s="99"/>
    </row>
    <row r="259" spans="1:18" x14ac:dyDescent="0.45">
      <c r="A259" t="s">
        <v>48</v>
      </c>
      <c r="B259" t="s">
        <v>72</v>
      </c>
      <c r="C259" s="2" t="s">
        <v>22</v>
      </c>
      <c r="D259" t="s">
        <v>23</v>
      </c>
      <c r="E259" s="18">
        <v>0.34399999999999997</v>
      </c>
      <c r="F259" s="18">
        <v>0.24399999999999997</v>
      </c>
      <c r="G259" s="18">
        <v>0.44399999999999995</v>
      </c>
      <c r="H259" s="2"/>
      <c r="J259" s="2"/>
      <c r="L259" s="2"/>
      <c r="N259" s="2"/>
      <c r="O259" s="109"/>
      <c r="P259" s="107"/>
      <c r="Q259" s="4"/>
      <c r="R259" s="99" t="s">
        <v>186</v>
      </c>
    </row>
    <row r="260" spans="1:18" x14ac:dyDescent="0.45">
      <c r="A260" t="s">
        <v>48</v>
      </c>
      <c r="B260" t="s">
        <v>72</v>
      </c>
      <c r="C260" s="2" t="s">
        <v>49</v>
      </c>
      <c r="D260" t="s">
        <v>18</v>
      </c>
      <c r="E260" s="18">
        <v>0.24</v>
      </c>
      <c r="F260" s="22">
        <v>0.14000000000000001</v>
      </c>
      <c r="G260" s="22">
        <v>0.33999999999999997</v>
      </c>
      <c r="H260" s="2"/>
      <c r="J260" s="2"/>
      <c r="L260" s="2"/>
      <c r="N260" s="2"/>
      <c r="O260" s="109"/>
      <c r="P260" s="107"/>
      <c r="Q260" s="4"/>
      <c r="R260" s="99"/>
    </row>
    <row r="261" spans="1:18" x14ac:dyDescent="0.45">
      <c r="A261" t="s">
        <v>48</v>
      </c>
      <c r="B261" t="s">
        <v>72</v>
      </c>
      <c r="C261" s="2" t="s">
        <v>49</v>
      </c>
      <c r="D261" t="s">
        <v>50</v>
      </c>
      <c r="E261" s="18">
        <v>0.76</v>
      </c>
      <c r="F261" s="18">
        <v>0.66</v>
      </c>
      <c r="G261" s="18">
        <v>0.86</v>
      </c>
      <c r="H261" s="2"/>
      <c r="J261" s="2"/>
      <c r="L261" s="2"/>
      <c r="N261" s="2"/>
      <c r="O261" s="109"/>
      <c r="P261" s="107"/>
      <c r="Q261" s="4"/>
      <c r="R261" s="99" t="s">
        <v>187</v>
      </c>
    </row>
    <row r="262" spans="1:18" x14ac:dyDescent="0.45">
      <c r="A262" t="s">
        <v>48</v>
      </c>
      <c r="B262" t="s">
        <v>72</v>
      </c>
      <c r="C262" s="2" t="s">
        <v>26</v>
      </c>
      <c r="D262" t="s">
        <v>18</v>
      </c>
      <c r="E262" s="18">
        <v>1</v>
      </c>
      <c r="F262" s="18">
        <v>1</v>
      </c>
      <c r="G262" s="18">
        <v>1</v>
      </c>
      <c r="H262" s="2"/>
      <c r="J262" s="2"/>
      <c r="L262" s="2"/>
      <c r="N262" s="2"/>
      <c r="O262" s="109"/>
      <c r="P262" s="107"/>
      <c r="Q262" s="4"/>
      <c r="R262" s="99" t="s">
        <v>86</v>
      </c>
    </row>
    <row r="263" spans="1:18" x14ac:dyDescent="0.45">
      <c r="A263" t="s">
        <v>48</v>
      </c>
      <c r="B263" t="s">
        <v>72</v>
      </c>
      <c r="C263" s="2" t="s">
        <v>26</v>
      </c>
      <c r="D263" t="s">
        <v>27</v>
      </c>
      <c r="E263" s="18">
        <v>0</v>
      </c>
      <c r="F263" s="18">
        <v>0</v>
      </c>
      <c r="G263" s="18">
        <v>0</v>
      </c>
      <c r="H263" s="2"/>
      <c r="J263" s="2"/>
      <c r="L263" s="2"/>
      <c r="N263" s="2"/>
      <c r="O263" s="109"/>
      <c r="P263" s="107"/>
      <c r="Q263" s="4"/>
      <c r="R263" s="99" t="s">
        <v>86</v>
      </c>
    </row>
    <row r="264" spans="1:18" x14ac:dyDescent="0.45">
      <c r="A264" t="s">
        <v>48</v>
      </c>
      <c r="B264" t="s">
        <v>72</v>
      </c>
      <c r="C264" s="2" t="s">
        <v>26</v>
      </c>
      <c r="D264" t="s">
        <v>28</v>
      </c>
      <c r="E264" s="18">
        <v>0</v>
      </c>
      <c r="F264" s="18">
        <v>0</v>
      </c>
      <c r="G264" s="18">
        <v>0</v>
      </c>
      <c r="H264" s="2"/>
      <c r="J264" s="2"/>
      <c r="L264" s="2"/>
      <c r="N264" s="2"/>
      <c r="O264" s="109"/>
      <c r="P264" s="107"/>
      <c r="Q264" s="4"/>
      <c r="R264" s="99" t="s">
        <v>86</v>
      </c>
    </row>
    <row r="265" spans="1:18" ht="14.25" customHeight="1" x14ac:dyDescent="0.45">
      <c r="A265" t="s">
        <v>48</v>
      </c>
      <c r="B265" t="s">
        <v>72</v>
      </c>
      <c r="C265" s="2" t="s">
        <v>35</v>
      </c>
      <c r="D265" t="s">
        <v>36</v>
      </c>
      <c r="E265" s="18">
        <v>0</v>
      </c>
      <c r="F265" s="18">
        <v>0</v>
      </c>
      <c r="G265" s="18">
        <v>0</v>
      </c>
      <c r="H265" s="2" t="s">
        <v>26</v>
      </c>
      <c r="I265" t="s">
        <v>18</v>
      </c>
      <c r="J265" s="2"/>
      <c r="L265" s="2"/>
      <c r="N265" s="2"/>
      <c r="O265" s="109"/>
      <c r="P265" s="107"/>
      <c r="Q265" s="4"/>
      <c r="R265" s="99" t="s">
        <v>86</v>
      </c>
    </row>
    <row r="266" spans="1:18" x14ac:dyDescent="0.45">
      <c r="A266" t="s">
        <v>48</v>
      </c>
      <c r="B266" t="s">
        <v>72</v>
      </c>
      <c r="C266" s="2" t="s">
        <v>35</v>
      </c>
      <c r="D266" t="s">
        <v>37</v>
      </c>
      <c r="E266" s="18">
        <v>0.14000000000000001</v>
      </c>
      <c r="F266" s="18">
        <v>4.0000000000000008E-2</v>
      </c>
      <c r="G266" s="18">
        <v>0.24000000000000002</v>
      </c>
      <c r="H266" s="2" t="s">
        <v>26</v>
      </c>
      <c r="I266" t="s">
        <v>18</v>
      </c>
      <c r="J266" s="2"/>
      <c r="L266" s="2"/>
      <c r="N266" s="2"/>
      <c r="O266" s="109"/>
      <c r="P266" s="107"/>
      <c r="Q266" s="4"/>
      <c r="R266" s="99" t="s">
        <v>152</v>
      </c>
    </row>
    <row r="267" spans="1:18" x14ac:dyDescent="0.45">
      <c r="A267" t="s">
        <v>48</v>
      </c>
      <c r="B267" t="s">
        <v>72</v>
      </c>
      <c r="C267" s="2" t="s">
        <v>35</v>
      </c>
      <c r="D267" t="s">
        <v>38</v>
      </c>
      <c r="E267" s="18">
        <v>0.86</v>
      </c>
      <c r="F267" s="18">
        <v>0.76</v>
      </c>
      <c r="G267" s="18">
        <v>0.96</v>
      </c>
      <c r="H267" s="2" t="s">
        <v>26</v>
      </c>
      <c r="I267" t="s">
        <v>18</v>
      </c>
      <c r="J267" s="2"/>
      <c r="L267" s="2"/>
      <c r="N267" s="2"/>
      <c r="O267" s="109"/>
      <c r="P267" s="107"/>
      <c r="Q267" s="4"/>
      <c r="R267" s="99" t="s">
        <v>152</v>
      </c>
    </row>
    <row r="268" spans="1:18" x14ac:dyDescent="0.45">
      <c r="A268" t="s">
        <v>48</v>
      </c>
      <c r="B268" t="s">
        <v>72</v>
      </c>
      <c r="C268" s="2" t="s">
        <v>35</v>
      </c>
      <c r="D268" t="s">
        <v>36</v>
      </c>
      <c r="E268" s="18">
        <v>0.3125</v>
      </c>
      <c r="F268" s="18">
        <v>0.21249999999999999</v>
      </c>
      <c r="G268" s="18">
        <v>0.41249999999999998</v>
      </c>
      <c r="H268" s="2" t="s">
        <v>26</v>
      </c>
      <c r="I268" t="s">
        <v>27</v>
      </c>
      <c r="J268" s="2"/>
      <c r="L268" s="2"/>
      <c r="N268" s="2"/>
      <c r="O268" s="109"/>
      <c r="P268" s="107"/>
      <c r="Q268" s="4"/>
      <c r="R268" s="99" t="s">
        <v>188</v>
      </c>
    </row>
    <row r="269" spans="1:18" x14ac:dyDescent="0.45">
      <c r="A269" t="s">
        <v>48</v>
      </c>
      <c r="B269" t="s">
        <v>72</v>
      </c>
      <c r="C269" s="2" t="s">
        <v>35</v>
      </c>
      <c r="D269" t="s">
        <v>37</v>
      </c>
      <c r="E269" s="18">
        <v>0.06</v>
      </c>
      <c r="F269" s="18">
        <v>2.8000000000000001E-2</v>
      </c>
      <c r="G269" s="18">
        <v>0.122</v>
      </c>
      <c r="H269" s="2" t="s">
        <v>26</v>
      </c>
      <c r="I269" t="s">
        <v>27</v>
      </c>
      <c r="J269" s="2"/>
      <c r="L269" s="2"/>
      <c r="N269" s="2"/>
      <c r="O269" s="109"/>
      <c r="P269" s="107"/>
      <c r="Q269" s="4"/>
      <c r="R269" s="99" t="s">
        <v>179</v>
      </c>
    </row>
    <row r="270" spans="1:18" x14ac:dyDescent="0.45">
      <c r="A270" t="s">
        <v>48</v>
      </c>
      <c r="B270" t="s">
        <v>72</v>
      </c>
      <c r="C270" s="2" t="s">
        <v>35</v>
      </c>
      <c r="D270" t="s">
        <v>38</v>
      </c>
      <c r="E270" s="18">
        <v>0.62749999999999995</v>
      </c>
      <c r="F270" s="18">
        <v>0.46550000000000002</v>
      </c>
      <c r="G270" s="18">
        <v>0.75949999999999995</v>
      </c>
      <c r="H270" s="2" t="s">
        <v>26</v>
      </c>
      <c r="I270" t="s">
        <v>27</v>
      </c>
      <c r="J270" s="2"/>
      <c r="L270" s="2"/>
      <c r="N270" s="2"/>
      <c r="O270" s="109"/>
      <c r="P270" s="107"/>
      <c r="Q270" s="4"/>
      <c r="R270" s="99" t="s">
        <v>90</v>
      </c>
    </row>
    <row r="271" spans="1:18" x14ac:dyDescent="0.45">
      <c r="A271" t="s">
        <v>48</v>
      </c>
      <c r="B271" t="s">
        <v>72</v>
      </c>
      <c r="C271" s="2" t="s">
        <v>35</v>
      </c>
      <c r="D271" t="s">
        <v>36</v>
      </c>
      <c r="E271" s="18">
        <v>0.3125</v>
      </c>
      <c r="F271" s="18">
        <v>0.21249999999999999</v>
      </c>
      <c r="G271" s="18">
        <v>0.41249999999999998</v>
      </c>
      <c r="H271" s="2" t="s">
        <v>26</v>
      </c>
      <c r="I271" t="s">
        <v>28</v>
      </c>
      <c r="J271" s="2"/>
      <c r="L271" s="2"/>
      <c r="N271" s="2"/>
      <c r="O271" s="109"/>
      <c r="P271" s="107"/>
      <c r="Q271" s="4"/>
      <c r="R271" s="99" t="s">
        <v>188</v>
      </c>
    </row>
    <row r="272" spans="1:18" x14ac:dyDescent="0.45">
      <c r="A272" t="s">
        <v>48</v>
      </c>
      <c r="B272" t="s">
        <v>72</v>
      </c>
      <c r="C272" s="2" t="s">
        <v>35</v>
      </c>
      <c r="D272" t="s">
        <v>37</v>
      </c>
      <c r="E272" s="18">
        <v>0.06</v>
      </c>
      <c r="F272" s="18">
        <v>2.8000000000000001E-2</v>
      </c>
      <c r="G272" s="18">
        <v>0.122</v>
      </c>
      <c r="H272" s="2" t="s">
        <v>26</v>
      </c>
      <c r="I272" t="s">
        <v>28</v>
      </c>
      <c r="J272" s="2"/>
      <c r="L272" s="2"/>
      <c r="N272" s="2"/>
      <c r="O272" s="109"/>
      <c r="P272" s="107"/>
      <c r="Q272" s="4"/>
      <c r="R272" s="99" t="s">
        <v>179</v>
      </c>
    </row>
    <row r="273" spans="1:18" x14ac:dyDescent="0.45">
      <c r="A273" t="s">
        <v>48</v>
      </c>
      <c r="B273" t="s">
        <v>72</v>
      </c>
      <c r="C273" s="2" t="s">
        <v>35</v>
      </c>
      <c r="D273" t="s">
        <v>38</v>
      </c>
      <c r="E273" s="18">
        <v>0.62749999999999995</v>
      </c>
      <c r="F273" s="18">
        <v>0.46550000000000002</v>
      </c>
      <c r="G273" s="18">
        <v>0.75949999999999995</v>
      </c>
      <c r="H273" s="2" t="s">
        <v>26</v>
      </c>
      <c r="I273" t="s">
        <v>28</v>
      </c>
      <c r="J273" s="2"/>
      <c r="L273" s="2"/>
      <c r="N273" s="2"/>
      <c r="O273" s="109"/>
      <c r="P273" s="107"/>
      <c r="Q273" s="4"/>
      <c r="R273" s="97" t="s">
        <v>90</v>
      </c>
    </row>
    <row r="274" spans="1:18" ht="28.5" x14ac:dyDescent="0.45">
      <c r="A274" t="s">
        <v>48</v>
      </c>
      <c r="B274" t="s">
        <v>72</v>
      </c>
      <c r="C274" s="2" t="s">
        <v>56</v>
      </c>
      <c r="D274" t="s">
        <v>32</v>
      </c>
      <c r="E274" s="22">
        <v>5.5109116049778563E-2</v>
      </c>
      <c r="F274" s="22">
        <v>1.7374964606553574E-2</v>
      </c>
      <c r="G274" s="22">
        <v>0.1509560550150956</v>
      </c>
      <c r="H274" s="2" t="s">
        <v>35</v>
      </c>
      <c r="I274" t="s">
        <v>36</v>
      </c>
      <c r="J274" s="2" t="s">
        <v>49</v>
      </c>
      <c r="K274" t="s">
        <v>18</v>
      </c>
      <c r="L274" s="2" t="s">
        <v>22</v>
      </c>
      <c r="M274" t="s">
        <v>18</v>
      </c>
      <c r="N274" s="2"/>
      <c r="O274" s="109"/>
      <c r="P274" s="107"/>
      <c r="Q274" s="4"/>
      <c r="R274" s="97" t="s">
        <v>189</v>
      </c>
    </row>
    <row r="275" spans="1:18" ht="28.5" x14ac:dyDescent="0.45">
      <c r="A275" t="s">
        <v>48</v>
      </c>
      <c r="B275" t="s">
        <v>72</v>
      </c>
      <c r="C275" s="2" t="s">
        <v>56</v>
      </c>
      <c r="D275" t="s">
        <v>32</v>
      </c>
      <c r="E275" s="22">
        <v>0.125247991022224</v>
      </c>
      <c r="F275" s="22">
        <v>7.2395685860639894E-2</v>
      </c>
      <c r="G275" s="22">
        <v>0.18869506876886949</v>
      </c>
      <c r="H275" s="2" t="s">
        <v>35</v>
      </c>
      <c r="I275" t="s">
        <v>37</v>
      </c>
      <c r="J275" s="2" t="s">
        <v>49</v>
      </c>
      <c r="K275" t="s">
        <v>18</v>
      </c>
      <c r="L275" s="2" t="s">
        <v>22</v>
      </c>
      <c r="M275" t="s">
        <v>18</v>
      </c>
      <c r="N275" s="2"/>
      <c r="O275" s="109"/>
      <c r="P275" s="107"/>
      <c r="Q275" s="4"/>
      <c r="R275" s="97" t="s">
        <v>189</v>
      </c>
    </row>
    <row r="276" spans="1:18" ht="28.5" x14ac:dyDescent="0.45">
      <c r="A276" t="s">
        <v>48</v>
      </c>
      <c r="B276" t="s">
        <v>72</v>
      </c>
      <c r="C276" s="2" t="s">
        <v>56</v>
      </c>
      <c r="D276" t="s">
        <v>32</v>
      </c>
      <c r="E276" s="22">
        <v>0.125247991022224</v>
      </c>
      <c r="F276" s="22">
        <v>7.2395685860639894E-2</v>
      </c>
      <c r="G276" s="22">
        <v>0.18869506876886949</v>
      </c>
      <c r="H276" s="2" t="s">
        <v>35</v>
      </c>
      <c r="I276" t="s">
        <v>38</v>
      </c>
      <c r="J276" s="2" t="s">
        <v>49</v>
      </c>
      <c r="K276" t="s">
        <v>18</v>
      </c>
      <c r="L276" s="2" t="s">
        <v>22</v>
      </c>
      <c r="M276" t="s">
        <v>18</v>
      </c>
      <c r="N276" s="2"/>
      <c r="O276" s="109"/>
      <c r="P276" s="107"/>
      <c r="Q276" s="4"/>
      <c r="R276" s="97" t="s">
        <v>189</v>
      </c>
    </row>
    <row r="277" spans="1:18" ht="28.5" x14ac:dyDescent="0.45">
      <c r="A277" t="s">
        <v>48</v>
      </c>
      <c r="B277" t="s">
        <v>72</v>
      </c>
      <c r="C277" s="2" t="s">
        <v>56</v>
      </c>
      <c r="D277" t="s">
        <v>32</v>
      </c>
      <c r="E277" s="22">
        <v>2.4248011061902566E-2</v>
      </c>
      <c r="F277" s="22">
        <v>4.1699915055728575E-3</v>
      </c>
      <c r="G277" s="22">
        <v>0.1207648440120765</v>
      </c>
      <c r="H277" s="2" t="s">
        <v>35</v>
      </c>
      <c r="I277" t="s">
        <v>36</v>
      </c>
      <c r="J277" s="2" t="s">
        <v>49</v>
      </c>
      <c r="K277" t="s">
        <v>50</v>
      </c>
      <c r="L277" s="2" t="s">
        <v>22</v>
      </c>
      <c r="M277" t="s">
        <v>18</v>
      </c>
      <c r="N277" s="2"/>
      <c r="O277" s="109"/>
      <c r="P277" s="107"/>
      <c r="Q277" s="4"/>
      <c r="R277" s="97" t="s">
        <v>189</v>
      </c>
    </row>
    <row r="278" spans="1:18" ht="28.5" x14ac:dyDescent="0.45">
      <c r="A278" t="s">
        <v>48</v>
      </c>
      <c r="B278" t="s">
        <v>72</v>
      </c>
      <c r="C278" s="2" t="s">
        <v>56</v>
      </c>
      <c r="D278" t="s">
        <v>32</v>
      </c>
      <c r="E278" s="22">
        <v>5.5109116049778563E-2</v>
      </c>
      <c r="F278" s="22">
        <v>1.7374964606553574E-2</v>
      </c>
      <c r="G278" s="22">
        <v>0.1509560550150956</v>
      </c>
      <c r="H278" s="2" t="s">
        <v>35</v>
      </c>
      <c r="I278" t="s">
        <v>37</v>
      </c>
      <c r="J278" s="2" t="s">
        <v>49</v>
      </c>
      <c r="K278" t="s">
        <v>50</v>
      </c>
      <c r="L278" s="2" t="s">
        <v>22</v>
      </c>
      <c r="M278" t="s">
        <v>18</v>
      </c>
      <c r="N278" s="2"/>
      <c r="O278" s="109"/>
      <c r="P278" s="107"/>
      <c r="Q278" s="4"/>
      <c r="R278" s="97" t="s">
        <v>189</v>
      </c>
    </row>
    <row r="279" spans="1:18" ht="28.5" x14ac:dyDescent="0.45">
      <c r="A279" t="s">
        <v>48</v>
      </c>
      <c r="B279" t="s">
        <v>72</v>
      </c>
      <c r="C279" s="2" t="s">
        <v>56</v>
      </c>
      <c r="D279" t="s">
        <v>32</v>
      </c>
      <c r="E279" s="22">
        <v>5.5109116049778563E-2</v>
      </c>
      <c r="F279" s="22">
        <v>1.7374964606553574E-2</v>
      </c>
      <c r="G279" s="22">
        <v>0.1509560550150956</v>
      </c>
      <c r="H279" s="2" t="s">
        <v>35</v>
      </c>
      <c r="I279" t="s">
        <v>38</v>
      </c>
      <c r="J279" s="2" t="s">
        <v>49</v>
      </c>
      <c r="K279" t="s">
        <v>50</v>
      </c>
      <c r="L279" s="2" t="s">
        <v>22</v>
      </c>
      <c r="M279" t="s">
        <v>18</v>
      </c>
      <c r="N279" s="2"/>
      <c r="O279" s="109"/>
      <c r="P279" s="107"/>
      <c r="Q279" s="4"/>
      <c r="R279" s="97" t="s">
        <v>189</v>
      </c>
    </row>
    <row r="280" spans="1:18" ht="28.5" x14ac:dyDescent="0.45">
      <c r="A280" t="s">
        <v>48</v>
      </c>
      <c r="B280" t="s">
        <v>72</v>
      </c>
      <c r="C280" s="2" t="s">
        <v>56</v>
      </c>
      <c r="D280" t="s">
        <v>32</v>
      </c>
      <c r="E280" s="22">
        <v>2.3145828740906996E-2</v>
      </c>
      <c r="F280" s="22">
        <v>4.3437411516383936E-3</v>
      </c>
      <c r="G280" s="22">
        <v>0.10868835961086881</v>
      </c>
      <c r="H280" s="2" t="s">
        <v>35</v>
      </c>
      <c r="I280" t="s">
        <v>36</v>
      </c>
      <c r="J280" s="2" t="s">
        <v>49</v>
      </c>
      <c r="K280" t="s">
        <v>18</v>
      </c>
      <c r="L280" s="2" t="s">
        <v>22</v>
      </c>
      <c r="M280" t="s">
        <v>23</v>
      </c>
      <c r="N280" s="2"/>
      <c r="O280" s="109"/>
      <c r="P280" s="107"/>
      <c r="Q280" s="4"/>
      <c r="R280" s="97" t="s">
        <v>189</v>
      </c>
    </row>
    <row r="281" spans="1:18" ht="28.5" x14ac:dyDescent="0.45">
      <c r="A281" t="s">
        <v>48</v>
      </c>
      <c r="B281" t="s">
        <v>72</v>
      </c>
      <c r="C281" s="2" t="s">
        <v>56</v>
      </c>
      <c r="D281" t="s">
        <v>32</v>
      </c>
      <c r="E281" s="22">
        <v>5.2604156229334079E-2</v>
      </c>
      <c r="F281" s="22">
        <v>1.8098921465159973E-2</v>
      </c>
      <c r="G281" s="22">
        <v>0.13586044951358603</v>
      </c>
      <c r="H281" s="2" t="s">
        <v>35</v>
      </c>
      <c r="I281" t="s">
        <v>37</v>
      </c>
      <c r="J281" s="2" t="s">
        <v>49</v>
      </c>
      <c r="K281" t="s">
        <v>18</v>
      </c>
      <c r="L281" s="2" t="s">
        <v>22</v>
      </c>
      <c r="M281" t="s">
        <v>23</v>
      </c>
      <c r="N281" s="2"/>
      <c r="O281" s="109"/>
      <c r="P281" s="107"/>
      <c r="Q281" s="4"/>
      <c r="R281" s="97" t="s">
        <v>189</v>
      </c>
    </row>
    <row r="282" spans="1:18" ht="28.5" x14ac:dyDescent="0.45">
      <c r="A282" t="s">
        <v>48</v>
      </c>
      <c r="B282" t="s">
        <v>72</v>
      </c>
      <c r="C282" s="2" t="s">
        <v>56</v>
      </c>
      <c r="D282" t="s">
        <v>32</v>
      </c>
      <c r="E282" s="22">
        <v>5.2604156229334079E-2</v>
      </c>
      <c r="F282" s="22">
        <v>1.8098921465159973E-2</v>
      </c>
      <c r="G282" s="22">
        <v>0.13586044951358603</v>
      </c>
      <c r="H282" s="2" t="s">
        <v>35</v>
      </c>
      <c r="I282" t="s">
        <v>38</v>
      </c>
      <c r="J282" s="2" t="s">
        <v>49</v>
      </c>
      <c r="K282" t="s">
        <v>18</v>
      </c>
      <c r="L282" s="2" t="s">
        <v>22</v>
      </c>
      <c r="M282" t="s">
        <v>23</v>
      </c>
      <c r="N282" s="2"/>
      <c r="O282" s="109"/>
      <c r="P282" s="107"/>
      <c r="Q282" s="4"/>
      <c r="R282" s="97" t="s">
        <v>189</v>
      </c>
    </row>
    <row r="283" spans="1:18" ht="28.5" x14ac:dyDescent="0.45">
      <c r="A283" t="s">
        <v>48</v>
      </c>
      <c r="B283" t="s">
        <v>72</v>
      </c>
      <c r="C283" s="2" t="s">
        <v>56</v>
      </c>
      <c r="D283" t="s">
        <v>32</v>
      </c>
      <c r="E283" s="22">
        <v>1.0184164645999078E-2</v>
      </c>
      <c r="F283" s="22">
        <v>1.0424978763932144E-3</v>
      </c>
      <c r="G283" s="22">
        <v>8.6950687688695086E-2</v>
      </c>
      <c r="H283" s="2" t="s">
        <v>35</v>
      </c>
      <c r="I283" t="s">
        <v>36</v>
      </c>
      <c r="J283" s="2" t="s">
        <v>49</v>
      </c>
      <c r="K283" t="s">
        <v>50</v>
      </c>
      <c r="L283" s="2" t="s">
        <v>22</v>
      </c>
      <c r="M283" t="s">
        <v>23</v>
      </c>
      <c r="N283" s="2"/>
      <c r="O283" s="109"/>
      <c r="P283" s="107"/>
      <c r="Q283" s="4"/>
      <c r="R283" s="97" t="s">
        <v>189</v>
      </c>
    </row>
    <row r="284" spans="1:18" ht="28.5" x14ac:dyDescent="0.45">
      <c r="A284" t="s">
        <v>48</v>
      </c>
      <c r="B284" t="s">
        <v>72</v>
      </c>
      <c r="C284" s="2" t="s">
        <v>56</v>
      </c>
      <c r="D284" t="s">
        <v>32</v>
      </c>
      <c r="E284" s="22">
        <v>2.3145828740906996E-2</v>
      </c>
      <c r="F284" s="22">
        <v>4.3437411516383936E-3</v>
      </c>
      <c r="G284" s="22">
        <v>0.10868835961086881</v>
      </c>
      <c r="H284" s="2" t="s">
        <v>35</v>
      </c>
      <c r="I284" t="s">
        <v>37</v>
      </c>
      <c r="J284" s="2" t="s">
        <v>49</v>
      </c>
      <c r="K284" t="s">
        <v>50</v>
      </c>
      <c r="L284" s="2" t="s">
        <v>22</v>
      </c>
      <c r="M284" t="s">
        <v>23</v>
      </c>
      <c r="N284" s="2"/>
      <c r="O284" s="109"/>
      <c r="P284" s="107"/>
      <c r="Q284" s="4"/>
      <c r="R284" s="97" t="s">
        <v>189</v>
      </c>
    </row>
    <row r="285" spans="1:18" ht="28.5" x14ac:dyDescent="0.45">
      <c r="A285" t="s">
        <v>48</v>
      </c>
      <c r="B285" t="s">
        <v>72</v>
      </c>
      <c r="C285" s="2" t="s">
        <v>56</v>
      </c>
      <c r="D285" t="s">
        <v>32</v>
      </c>
      <c r="E285" s="22">
        <v>2.3145828740906996E-2</v>
      </c>
      <c r="F285" s="22">
        <v>4.3437411516383936E-3</v>
      </c>
      <c r="G285" s="22">
        <v>0.10868835961086881</v>
      </c>
      <c r="H285" s="2" t="s">
        <v>35</v>
      </c>
      <c r="I285" t="s">
        <v>38</v>
      </c>
      <c r="J285" s="2" t="s">
        <v>49</v>
      </c>
      <c r="K285" t="s">
        <v>50</v>
      </c>
      <c r="L285" s="2" t="s">
        <v>22</v>
      </c>
      <c r="M285" t="s">
        <v>23</v>
      </c>
      <c r="N285" s="2"/>
      <c r="O285" s="109"/>
      <c r="P285" s="107"/>
      <c r="Q285" s="4"/>
      <c r="R285" s="97" t="s">
        <v>189</v>
      </c>
    </row>
    <row r="286" spans="1:18" x14ac:dyDescent="0.45">
      <c r="A286" t="s">
        <v>48</v>
      </c>
      <c r="B286" t="s">
        <v>72</v>
      </c>
      <c r="C286" s="2" t="s">
        <v>57</v>
      </c>
      <c r="D286" t="s">
        <v>18</v>
      </c>
      <c r="E286" s="18">
        <v>0</v>
      </c>
      <c r="F286" s="18">
        <v>0</v>
      </c>
      <c r="G286" s="18">
        <v>0</v>
      </c>
      <c r="H286" s="2" t="s">
        <v>56</v>
      </c>
      <c r="I286" t="s">
        <v>32</v>
      </c>
      <c r="J286" s="2"/>
      <c r="L286" s="2"/>
      <c r="N286" s="2"/>
      <c r="O286" s="109"/>
      <c r="P286" s="107"/>
      <c r="Q286" s="4"/>
      <c r="R286" s="97"/>
    </row>
    <row r="287" spans="1:18" x14ac:dyDescent="0.45">
      <c r="A287" t="s">
        <v>48</v>
      </c>
      <c r="B287" t="s">
        <v>72</v>
      </c>
      <c r="C287" s="2" t="s">
        <v>57</v>
      </c>
      <c r="D287" t="s">
        <v>58</v>
      </c>
      <c r="E287" s="18">
        <v>1</v>
      </c>
      <c r="F287" s="18">
        <v>1</v>
      </c>
      <c r="G287" s="18">
        <v>1</v>
      </c>
      <c r="H287" s="2" t="s">
        <v>56</v>
      </c>
      <c r="I287" t="s">
        <v>32</v>
      </c>
      <c r="J287" s="2"/>
      <c r="L287" s="2"/>
      <c r="N287" s="2"/>
      <c r="O287" s="109"/>
      <c r="P287" s="107"/>
      <c r="Q287" s="4"/>
      <c r="R287" s="97" t="s">
        <v>190</v>
      </c>
    </row>
    <row r="288" spans="1:18" x14ac:dyDescent="0.45">
      <c r="A288" t="s">
        <v>48</v>
      </c>
      <c r="B288" t="s">
        <v>72</v>
      </c>
      <c r="C288" s="2" t="s">
        <v>57</v>
      </c>
      <c r="D288" t="s">
        <v>18</v>
      </c>
      <c r="E288" s="18">
        <v>1</v>
      </c>
      <c r="F288" s="18">
        <v>1</v>
      </c>
      <c r="G288" s="18">
        <v>1</v>
      </c>
      <c r="H288" s="2" t="s">
        <v>56</v>
      </c>
      <c r="I288" t="s">
        <v>34</v>
      </c>
      <c r="J288" s="2"/>
      <c r="L288" s="2"/>
      <c r="N288" s="2"/>
      <c r="O288" s="109"/>
      <c r="P288" s="107"/>
      <c r="Q288" s="4"/>
      <c r="R288" s="97" t="s">
        <v>191</v>
      </c>
    </row>
    <row r="289" spans="1:207" x14ac:dyDescent="0.45">
      <c r="A289" t="s">
        <v>48</v>
      </c>
      <c r="B289" t="s">
        <v>72</v>
      </c>
      <c r="C289" s="2" t="s">
        <v>57</v>
      </c>
      <c r="D289" t="s">
        <v>58</v>
      </c>
      <c r="E289" s="18">
        <v>0</v>
      </c>
      <c r="F289" s="18">
        <v>0</v>
      </c>
      <c r="G289" s="18">
        <v>0</v>
      </c>
      <c r="H289" s="2" t="s">
        <v>56</v>
      </c>
      <c r="I289" t="s">
        <v>34</v>
      </c>
      <c r="J289" s="2"/>
      <c r="L289" s="2"/>
      <c r="N289" s="2"/>
      <c r="O289" s="109"/>
      <c r="P289" s="107"/>
      <c r="Q289" s="4"/>
      <c r="R289" s="97" t="s">
        <v>191</v>
      </c>
    </row>
    <row r="290" spans="1:207" s="31" customFormat="1" x14ac:dyDescent="0.45">
      <c r="A290" s="31" t="s">
        <v>59</v>
      </c>
      <c r="B290" s="31" t="s">
        <v>73</v>
      </c>
      <c r="C290" s="32" t="s">
        <v>20</v>
      </c>
      <c r="D290" s="31" t="s">
        <v>18</v>
      </c>
      <c r="E290" s="47">
        <v>0.92233156250000004</v>
      </c>
      <c r="F290" s="47">
        <v>0.89126418750000003</v>
      </c>
      <c r="G290" s="47">
        <v>0.95339893750000004</v>
      </c>
      <c r="H290" s="32"/>
      <c r="J290" s="32"/>
      <c r="L290" s="32"/>
      <c r="N290" s="32"/>
      <c r="O290" s="110"/>
      <c r="P290" s="108"/>
      <c r="Q290" s="34"/>
      <c r="R290" s="98"/>
      <c r="X290" s="95"/>
      <c r="Y290" s="95"/>
      <c r="Z290" s="95"/>
      <c r="AA290" s="95"/>
      <c r="AB290" s="95"/>
      <c r="AC290" s="95"/>
      <c r="AD290" s="95"/>
      <c r="AE290" s="95"/>
      <c r="AF290" s="95"/>
      <c r="AG290" s="95"/>
      <c r="AH290" s="95"/>
      <c r="AI290" s="95"/>
      <c r="AJ290" s="95"/>
      <c r="AK290" s="95"/>
      <c r="AL290" s="95"/>
      <c r="AM290" s="95"/>
      <c r="AN290" s="95"/>
      <c r="AO290" s="95"/>
      <c r="AP290" s="95"/>
      <c r="AQ290" s="95"/>
      <c r="AR290" s="95"/>
      <c r="AS290" s="95"/>
      <c r="AT290" s="95"/>
      <c r="AU290" s="95"/>
      <c r="AV290" s="95"/>
      <c r="AW290" s="95"/>
      <c r="AX290" s="95"/>
      <c r="AY290" s="95"/>
      <c r="AZ290" s="95"/>
      <c r="BA290" s="95"/>
      <c r="BB290" s="95"/>
      <c r="BC290" s="95"/>
      <c r="BD290" s="95"/>
      <c r="BE290" s="95"/>
      <c r="BF290" s="95"/>
      <c r="BG290" s="95"/>
      <c r="BH290" s="95"/>
      <c r="BI290" s="95"/>
      <c r="BJ290" s="95"/>
      <c r="BK290" s="95"/>
      <c r="BL290" s="95"/>
      <c r="BM290" s="95"/>
      <c r="BN290" s="95"/>
      <c r="BO290" s="95"/>
      <c r="BP290" s="95"/>
      <c r="BQ290" s="95"/>
      <c r="BR290" s="95"/>
      <c r="BS290" s="95"/>
      <c r="BT290" s="95"/>
      <c r="BU290" s="95"/>
      <c r="BV290" s="95"/>
      <c r="BW290" s="95"/>
      <c r="BX290" s="95"/>
      <c r="BY290" s="95"/>
      <c r="BZ290" s="95"/>
      <c r="CA290" s="95"/>
      <c r="CB290" s="95"/>
      <c r="CC290" s="95"/>
      <c r="CD290" s="95"/>
      <c r="CE290" s="95"/>
      <c r="CF290" s="95"/>
      <c r="CG290" s="95"/>
      <c r="CH290" s="95"/>
      <c r="CI290" s="95"/>
      <c r="CJ290" s="95"/>
      <c r="CK290" s="95"/>
      <c r="CL290" s="95"/>
      <c r="CM290" s="95"/>
      <c r="CN290" s="95"/>
      <c r="CO290" s="95"/>
      <c r="CP290" s="95"/>
      <c r="CQ290" s="95"/>
      <c r="CR290" s="95"/>
      <c r="CS290" s="95"/>
      <c r="CT290" s="95"/>
      <c r="CU290" s="95"/>
      <c r="CV290" s="95"/>
      <c r="CW290" s="95"/>
      <c r="CX290" s="95"/>
      <c r="CY290" s="95"/>
      <c r="CZ290" s="95"/>
      <c r="DA290" s="95"/>
      <c r="DB290" s="95"/>
      <c r="DC290" s="95"/>
      <c r="DD290" s="95"/>
      <c r="DE290" s="95"/>
      <c r="DF290" s="95"/>
      <c r="DG290" s="95"/>
      <c r="DH290" s="95"/>
      <c r="DI290" s="95"/>
      <c r="DJ290" s="95"/>
      <c r="DK290" s="95"/>
      <c r="DL290" s="95"/>
      <c r="DM290" s="95"/>
      <c r="DN290" s="95"/>
      <c r="DO290" s="95"/>
      <c r="DP290" s="95"/>
      <c r="DQ290" s="95"/>
      <c r="DR290" s="95"/>
      <c r="DS290" s="95"/>
      <c r="DT290" s="95"/>
      <c r="DU290" s="95"/>
      <c r="DV290" s="95"/>
      <c r="DW290" s="95"/>
      <c r="DX290" s="95"/>
      <c r="DY290" s="95"/>
      <c r="DZ290" s="95"/>
      <c r="EA290" s="95"/>
      <c r="EB290" s="95"/>
      <c r="EC290" s="95"/>
      <c r="ED290" s="95"/>
      <c r="EE290" s="95"/>
      <c r="EF290" s="95"/>
      <c r="EG290" s="95"/>
      <c r="EH290" s="95"/>
      <c r="EI290" s="95"/>
      <c r="EJ290" s="95"/>
      <c r="EK290" s="95"/>
      <c r="EL290" s="95"/>
      <c r="EM290" s="95"/>
      <c r="EN290" s="95"/>
      <c r="EO290" s="95"/>
      <c r="EP290" s="95"/>
      <c r="EQ290" s="95"/>
      <c r="ER290" s="95"/>
      <c r="ES290" s="95"/>
      <c r="ET290" s="95"/>
      <c r="EU290" s="95"/>
      <c r="EV290" s="95"/>
      <c r="EW290" s="95"/>
      <c r="EX290" s="95"/>
      <c r="EY290" s="95"/>
      <c r="EZ290" s="95"/>
      <c r="FA290" s="95"/>
      <c r="FB290" s="95"/>
      <c r="FC290" s="95"/>
      <c r="FD290" s="95"/>
      <c r="FE290" s="95"/>
      <c r="FF290" s="95"/>
      <c r="FG290" s="95"/>
      <c r="FH290" s="95"/>
      <c r="FI290" s="95"/>
      <c r="FJ290" s="95"/>
      <c r="FK290" s="95"/>
      <c r="FL290" s="95"/>
      <c r="FM290" s="95"/>
      <c r="FN290" s="95"/>
      <c r="FO290" s="95"/>
      <c r="FP290" s="95"/>
      <c r="FQ290" s="95"/>
      <c r="FR290" s="95"/>
      <c r="FS290" s="95"/>
      <c r="FT290" s="95"/>
      <c r="FU290" s="95"/>
      <c r="FV290" s="95"/>
      <c r="FW290" s="95"/>
      <c r="FX290" s="95"/>
      <c r="FY290" s="95"/>
      <c r="FZ290" s="95"/>
      <c r="GA290" s="95"/>
      <c r="GB290" s="95"/>
      <c r="GC290" s="95"/>
      <c r="GD290" s="95"/>
      <c r="GE290" s="95"/>
      <c r="GF290" s="95"/>
      <c r="GG290" s="95"/>
      <c r="GH290" s="95"/>
      <c r="GI290" s="95"/>
      <c r="GJ290" s="95"/>
      <c r="GK290" s="95"/>
      <c r="GL290" s="95"/>
      <c r="GM290" s="95"/>
      <c r="GN290" s="95"/>
      <c r="GO290" s="95"/>
      <c r="GP290" s="95"/>
      <c r="GQ290" s="95"/>
      <c r="GR290" s="95"/>
      <c r="GS290" s="95"/>
      <c r="GT290" s="95"/>
      <c r="GU290" s="95"/>
      <c r="GV290" s="95"/>
      <c r="GW290" s="95"/>
      <c r="GX290" s="95"/>
      <c r="GY290" s="95"/>
    </row>
    <row r="291" spans="1:207" s="31" customFormat="1" ht="42.75" x14ac:dyDescent="0.45">
      <c r="A291" s="31" t="s">
        <v>59</v>
      </c>
      <c r="B291" s="31" t="s">
        <v>73</v>
      </c>
      <c r="C291" s="32" t="s">
        <v>20</v>
      </c>
      <c r="D291" s="31" t="s">
        <v>21</v>
      </c>
      <c r="E291" s="48">
        <v>7.7668437500000007E-2</v>
      </c>
      <c r="F291" s="48">
        <v>4.6601062500000005E-2</v>
      </c>
      <c r="G291" s="48">
        <v>0.1087358125</v>
      </c>
      <c r="H291" s="32"/>
      <c r="J291" s="32"/>
      <c r="L291" s="32"/>
      <c r="N291" s="32"/>
      <c r="O291" s="110"/>
      <c r="P291" s="108"/>
      <c r="Q291" s="34"/>
      <c r="R291" s="98" t="s">
        <v>206</v>
      </c>
      <c r="X291" s="95"/>
      <c r="Y291" s="95"/>
      <c r="Z291" s="95"/>
      <c r="AA291" s="95"/>
      <c r="AB291" s="95"/>
      <c r="AC291" s="95"/>
      <c r="AD291" s="95"/>
      <c r="AE291" s="95"/>
      <c r="AF291" s="95"/>
      <c r="AG291" s="95"/>
      <c r="AH291" s="95"/>
      <c r="AI291" s="95"/>
      <c r="AJ291" s="95"/>
      <c r="AK291" s="95"/>
      <c r="AL291" s="95"/>
      <c r="AM291" s="95"/>
      <c r="AN291" s="95"/>
      <c r="AO291" s="95"/>
      <c r="AP291" s="95"/>
      <c r="AQ291" s="95"/>
      <c r="AR291" s="95"/>
      <c r="AS291" s="95"/>
      <c r="AT291" s="95"/>
      <c r="AU291" s="95"/>
      <c r="AV291" s="95"/>
      <c r="AW291" s="95"/>
      <c r="AX291" s="95"/>
      <c r="AY291" s="95"/>
      <c r="AZ291" s="95"/>
      <c r="BA291" s="95"/>
      <c r="BB291" s="95"/>
      <c r="BC291" s="95"/>
      <c r="BD291" s="95"/>
      <c r="BE291" s="95"/>
      <c r="BF291" s="95"/>
      <c r="BG291" s="95"/>
      <c r="BH291" s="95"/>
      <c r="BI291" s="95"/>
      <c r="BJ291" s="95"/>
      <c r="BK291" s="95"/>
      <c r="BL291" s="95"/>
      <c r="BM291" s="95"/>
      <c r="BN291" s="95"/>
      <c r="BO291" s="95"/>
      <c r="BP291" s="95"/>
      <c r="BQ291" s="95"/>
      <c r="BR291" s="95"/>
      <c r="BS291" s="95"/>
      <c r="BT291" s="95"/>
      <c r="BU291" s="95"/>
      <c r="BV291" s="95"/>
      <c r="BW291" s="95"/>
      <c r="BX291" s="95"/>
      <c r="BY291" s="95"/>
      <c r="BZ291" s="95"/>
      <c r="CA291" s="95"/>
      <c r="CB291" s="95"/>
      <c r="CC291" s="95"/>
      <c r="CD291" s="95"/>
      <c r="CE291" s="95"/>
      <c r="CF291" s="95"/>
      <c r="CG291" s="95"/>
      <c r="CH291" s="95"/>
      <c r="CI291" s="95"/>
      <c r="CJ291" s="95"/>
      <c r="CK291" s="95"/>
      <c r="CL291" s="95"/>
      <c r="CM291" s="95"/>
      <c r="CN291" s="95"/>
      <c r="CO291" s="95"/>
      <c r="CP291" s="95"/>
      <c r="CQ291" s="95"/>
      <c r="CR291" s="95"/>
      <c r="CS291" s="95"/>
      <c r="CT291" s="95"/>
      <c r="CU291" s="95"/>
      <c r="CV291" s="95"/>
      <c r="CW291" s="95"/>
      <c r="CX291" s="95"/>
      <c r="CY291" s="95"/>
      <c r="CZ291" s="95"/>
      <c r="DA291" s="95"/>
      <c r="DB291" s="95"/>
      <c r="DC291" s="95"/>
      <c r="DD291" s="95"/>
      <c r="DE291" s="95"/>
      <c r="DF291" s="95"/>
      <c r="DG291" s="95"/>
      <c r="DH291" s="95"/>
      <c r="DI291" s="95"/>
      <c r="DJ291" s="95"/>
      <c r="DK291" s="95"/>
      <c r="DL291" s="95"/>
      <c r="DM291" s="95"/>
      <c r="DN291" s="95"/>
      <c r="DO291" s="95"/>
      <c r="DP291" s="95"/>
      <c r="DQ291" s="95"/>
      <c r="DR291" s="95"/>
      <c r="DS291" s="95"/>
      <c r="DT291" s="95"/>
      <c r="DU291" s="95"/>
      <c r="DV291" s="95"/>
      <c r="DW291" s="95"/>
      <c r="DX291" s="95"/>
      <c r="DY291" s="95"/>
      <c r="DZ291" s="95"/>
      <c r="EA291" s="95"/>
      <c r="EB291" s="95"/>
      <c r="EC291" s="95"/>
      <c r="ED291" s="95"/>
      <c r="EE291" s="95"/>
      <c r="EF291" s="95"/>
      <c r="EG291" s="95"/>
      <c r="EH291" s="95"/>
      <c r="EI291" s="95"/>
      <c r="EJ291" s="95"/>
      <c r="EK291" s="95"/>
      <c r="EL291" s="95"/>
      <c r="EM291" s="95"/>
      <c r="EN291" s="95"/>
      <c r="EO291" s="95"/>
      <c r="EP291" s="95"/>
      <c r="EQ291" s="95"/>
      <c r="ER291" s="95"/>
      <c r="ES291" s="95"/>
      <c r="ET291" s="95"/>
      <c r="EU291" s="95"/>
      <c r="EV291" s="95"/>
      <c r="EW291" s="95"/>
      <c r="EX291" s="95"/>
      <c r="EY291" s="95"/>
      <c r="EZ291" s="95"/>
      <c r="FA291" s="95"/>
      <c r="FB291" s="95"/>
      <c r="FC291" s="95"/>
      <c r="FD291" s="95"/>
      <c r="FE291" s="95"/>
      <c r="FF291" s="95"/>
      <c r="FG291" s="95"/>
      <c r="FH291" s="95"/>
      <c r="FI291" s="95"/>
      <c r="FJ291" s="95"/>
      <c r="FK291" s="95"/>
      <c r="FL291" s="95"/>
      <c r="FM291" s="95"/>
      <c r="FN291" s="95"/>
      <c r="FO291" s="95"/>
      <c r="FP291" s="95"/>
      <c r="FQ291" s="95"/>
      <c r="FR291" s="95"/>
      <c r="FS291" s="95"/>
      <c r="FT291" s="95"/>
      <c r="FU291" s="95"/>
      <c r="FV291" s="95"/>
      <c r="FW291" s="95"/>
      <c r="FX291" s="95"/>
      <c r="FY291" s="95"/>
      <c r="FZ291" s="95"/>
      <c r="GA291" s="95"/>
      <c r="GB291" s="95"/>
      <c r="GC291" s="95"/>
      <c r="GD291" s="95"/>
      <c r="GE291" s="95"/>
      <c r="GF291" s="95"/>
      <c r="GG291" s="95"/>
      <c r="GH291" s="95"/>
      <c r="GI291" s="95"/>
      <c r="GJ291" s="95"/>
      <c r="GK291" s="95"/>
      <c r="GL291" s="95"/>
      <c r="GM291" s="95"/>
      <c r="GN291" s="95"/>
      <c r="GO291" s="95"/>
      <c r="GP291" s="95"/>
      <c r="GQ291" s="95"/>
      <c r="GR291" s="95"/>
      <c r="GS291" s="95"/>
      <c r="GT291" s="95"/>
      <c r="GU291" s="95"/>
      <c r="GV291" s="95"/>
      <c r="GW291" s="95"/>
      <c r="GX291" s="95"/>
      <c r="GY291" s="95"/>
    </row>
    <row r="292" spans="1:207" x14ac:dyDescent="0.45">
      <c r="A292" t="s">
        <v>59</v>
      </c>
      <c r="B292" t="s">
        <v>73</v>
      </c>
      <c r="C292" s="2" t="s">
        <v>24</v>
      </c>
      <c r="D292" t="s">
        <v>18</v>
      </c>
      <c r="E292" s="18">
        <v>0.8</v>
      </c>
      <c r="F292" s="22">
        <v>0.7</v>
      </c>
      <c r="G292" s="22">
        <v>0.9</v>
      </c>
      <c r="H292" s="2"/>
      <c r="J292" s="2"/>
      <c r="L292" s="2"/>
      <c r="N292" s="2"/>
      <c r="O292" s="109"/>
      <c r="P292" s="107"/>
      <c r="Q292" s="4"/>
      <c r="R292" s="97"/>
    </row>
    <row r="293" spans="1:207" x14ac:dyDescent="0.45">
      <c r="A293" t="s">
        <v>59</v>
      </c>
      <c r="B293" t="s">
        <v>73</v>
      </c>
      <c r="C293" s="2" t="s">
        <v>24</v>
      </c>
      <c r="D293" t="s">
        <v>25</v>
      </c>
      <c r="E293" s="18">
        <v>0.2</v>
      </c>
      <c r="F293" s="18">
        <v>0.1</v>
      </c>
      <c r="G293" s="18">
        <v>0.30000000000000004</v>
      </c>
      <c r="H293" s="2"/>
      <c r="J293" s="2"/>
      <c r="L293" s="2"/>
      <c r="N293" s="2"/>
      <c r="O293" s="109"/>
      <c r="P293" s="107"/>
      <c r="Q293" s="4"/>
      <c r="R293" s="97" t="s">
        <v>108</v>
      </c>
    </row>
    <row r="294" spans="1:207" x14ac:dyDescent="0.45">
      <c r="A294" t="s">
        <v>59</v>
      </c>
      <c r="B294" t="s">
        <v>73</v>
      </c>
      <c r="C294" s="2" t="s">
        <v>29</v>
      </c>
      <c r="D294" t="s">
        <v>18</v>
      </c>
      <c r="E294" s="18">
        <v>1</v>
      </c>
      <c r="F294" s="18">
        <v>1</v>
      </c>
      <c r="G294" s="18">
        <v>1</v>
      </c>
      <c r="H294" s="2"/>
      <c r="J294" s="2"/>
      <c r="L294" s="2"/>
      <c r="N294" s="2"/>
      <c r="O294" s="109"/>
      <c r="P294" s="107"/>
      <c r="Q294" s="4"/>
      <c r="R294" s="97"/>
    </row>
    <row r="295" spans="1:207" x14ac:dyDescent="0.45">
      <c r="A295" t="s">
        <v>59</v>
      </c>
      <c r="B295" t="s">
        <v>73</v>
      </c>
      <c r="C295" s="2" t="s">
        <v>29</v>
      </c>
      <c r="D295" t="s">
        <v>30</v>
      </c>
      <c r="E295" s="18">
        <v>0</v>
      </c>
      <c r="F295" s="18">
        <v>0</v>
      </c>
      <c r="G295" s="18">
        <v>0</v>
      </c>
      <c r="H295" s="2"/>
      <c r="J295" s="2"/>
      <c r="L295" s="2"/>
      <c r="N295" s="2"/>
      <c r="O295" s="109"/>
      <c r="P295" s="107"/>
      <c r="Q295" s="4"/>
      <c r="R295" s="97"/>
    </row>
    <row r="296" spans="1:207" x14ac:dyDescent="0.45">
      <c r="A296" t="s">
        <v>59</v>
      </c>
      <c r="B296" t="s">
        <v>73</v>
      </c>
      <c r="C296" s="2" t="s">
        <v>31</v>
      </c>
      <c r="D296" t="s">
        <v>32</v>
      </c>
      <c r="E296" s="18">
        <v>0</v>
      </c>
      <c r="F296" s="18">
        <v>0</v>
      </c>
      <c r="G296" s="18">
        <v>0</v>
      </c>
      <c r="H296" s="2" t="s">
        <v>20</v>
      </c>
      <c r="I296" t="s">
        <v>18</v>
      </c>
      <c r="J296" s="2"/>
      <c r="L296" s="2"/>
      <c r="N296" s="2"/>
      <c r="O296" s="109"/>
      <c r="P296" s="107"/>
      <c r="Q296" s="4"/>
      <c r="R296" s="97" t="s">
        <v>149</v>
      </c>
    </row>
    <row r="297" spans="1:207" s="31" customFormat="1" ht="28.5" x14ac:dyDescent="0.45">
      <c r="A297" s="31" t="s">
        <v>59</v>
      </c>
      <c r="B297" s="31" t="s">
        <v>73</v>
      </c>
      <c r="C297" s="32" t="s">
        <v>31</v>
      </c>
      <c r="D297" s="31" t="s">
        <v>32</v>
      </c>
      <c r="E297" s="33">
        <v>0.504</v>
      </c>
      <c r="F297" s="33">
        <v>0.30399999999999999</v>
      </c>
      <c r="G297" s="33">
        <v>0.70399999999999996</v>
      </c>
      <c r="H297" s="32" t="s">
        <v>20</v>
      </c>
      <c r="I297" s="31" t="s">
        <v>21</v>
      </c>
      <c r="J297" s="32"/>
      <c r="L297" s="32"/>
      <c r="N297" s="32"/>
      <c r="O297" s="110"/>
      <c r="P297" s="108"/>
      <c r="Q297" s="34"/>
      <c r="R297" s="98" t="s">
        <v>205</v>
      </c>
      <c r="X297" s="95"/>
      <c r="Y297" s="95"/>
      <c r="Z297" s="95"/>
      <c r="AA297" s="95"/>
      <c r="AB297" s="95"/>
      <c r="AC297" s="95"/>
      <c r="AD297" s="95"/>
      <c r="AE297" s="95"/>
      <c r="AF297" s="95"/>
      <c r="AG297" s="95"/>
      <c r="AH297" s="95"/>
      <c r="AI297" s="95"/>
      <c r="AJ297" s="95"/>
      <c r="AK297" s="95"/>
      <c r="AL297" s="95"/>
      <c r="AM297" s="95"/>
      <c r="AN297" s="95"/>
      <c r="AO297" s="95"/>
      <c r="AP297" s="95"/>
      <c r="AQ297" s="95"/>
      <c r="AR297" s="95"/>
      <c r="AS297" s="95"/>
      <c r="AT297" s="95"/>
      <c r="AU297" s="95"/>
      <c r="AV297" s="95"/>
      <c r="AW297" s="95"/>
      <c r="AX297" s="95"/>
      <c r="AY297" s="95"/>
      <c r="AZ297" s="95"/>
      <c r="BA297" s="95"/>
      <c r="BB297" s="95"/>
      <c r="BC297" s="95"/>
      <c r="BD297" s="95"/>
      <c r="BE297" s="95"/>
      <c r="BF297" s="95"/>
      <c r="BG297" s="95"/>
      <c r="BH297" s="95"/>
      <c r="BI297" s="95"/>
      <c r="BJ297" s="95"/>
      <c r="BK297" s="95"/>
      <c r="BL297" s="95"/>
      <c r="BM297" s="95"/>
      <c r="BN297" s="95"/>
      <c r="BO297" s="95"/>
      <c r="BP297" s="95"/>
      <c r="BQ297" s="95"/>
      <c r="BR297" s="95"/>
      <c r="BS297" s="95"/>
      <c r="BT297" s="95"/>
      <c r="BU297" s="95"/>
      <c r="BV297" s="95"/>
      <c r="BW297" s="95"/>
      <c r="BX297" s="95"/>
      <c r="BY297" s="95"/>
      <c r="BZ297" s="95"/>
      <c r="CA297" s="95"/>
      <c r="CB297" s="95"/>
      <c r="CC297" s="95"/>
      <c r="CD297" s="95"/>
      <c r="CE297" s="95"/>
      <c r="CF297" s="95"/>
      <c r="CG297" s="95"/>
      <c r="CH297" s="95"/>
      <c r="CI297" s="95"/>
      <c r="CJ297" s="95"/>
      <c r="CK297" s="95"/>
      <c r="CL297" s="95"/>
      <c r="CM297" s="95"/>
      <c r="CN297" s="95"/>
      <c r="CO297" s="95"/>
      <c r="CP297" s="95"/>
      <c r="CQ297" s="95"/>
      <c r="CR297" s="95"/>
      <c r="CS297" s="95"/>
      <c r="CT297" s="95"/>
      <c r="CU297" s="95"/>
      <c r="CV297" s="95"/>
      <c r="CW297" s="95"/>
      <c r="CX297" s="95"/>
      <c r="CY297" s="95"/>
      <c r="CZ297" s="95"/>
      <c r="DA297" s="95"/>
      <c r="DB297" s="95"/>
      <c r="DC297" s="95"/>
      <c r="DD297" s="95"/>
      <c r="DE297" s="95"/>
      <c r="DF297" s="95"/>
      <c r="DG297" s="95"/>
      <c r="DH297" s="95"/>
      <c r="DI297" s="95"/>
      <c r="DJ297" s="95"/>
      <c r="DK297" s="95"/>
      <c r="DL297" s="95"/>
      <c r="DM297" s="95"/>
      <c r="DN297" s="95"/>
      <c r="DO297" s="95"/>
      <c r="DP297" s="95"/>
      <c r="DQ297" s="95"/>
      <c r="DR297" s="95"/>
      <c r="DS297" s="95"/>
      <c r="DT297" s="95"/>
      <c r="DU297" s="95"/>
      <c r="DV297" s="95"/>
      <c r="DW297" s="95"/>
      <c r="DX297" s="95"/>
      <c r="DY297" s="95"/>
      <c r="DZ297" s="95"/>
      <c r="EA297" s="95"/>
      <c r="EB297" s="95"/>
      <c r="EC297" s="95"/>
      <c r="ED297" s="95"/>
      <c r="EE297" s="95"/>
      <c r="EF297" s="95"/>
      <c r="EG297" s="95"/>
      <c r="EH297" s="95"/>
      <c r="EI297" s="95"/>
      <c r="EJ297" s="95"/>
      <c r="EK297" s="95"/>
      <c r="EL297" s="95"/>
      <c r="EM297" s="95"/>
      <c r="EN297" s="95"/>
      <c r="EO297" s="95"/>
      <c r="EP297" s="95"/>
      <c r="EQ297" s="95"/>
      <c r="ER297" s="95"/>
      <c r="ES297" s="95"/>
      <c r="ET297" s="95"/>
      <c r="EU297" s="95"/>
      <c r="EV297" s="95"/>
      <c r="EW297" s="95"/>
      <c r="EX297" s="95"/>
      <c r="EY297" s="95"/>
      <c r="EZ297" s="95"/>
      <c r="FA297" s="95"/>
      <c r="FB297" s="95"/>
      <c r="FC297" s="95"/>
      <c r="FD297" s="95"/>
      <c r="FE297" s="95"/>
      <c r="FF297" s="95"/>
      <c r="FG297" s="95"/>
      <c r="FH297" s="95"/>
      <c r="FI297" s="95"/>
      <c r="FJ297" s="95"/>
      <c r="FK297" s="95"/>
      <c r="FL297" s="95"/>
      <c r="FM297" s="95"/>
      <c r="FN297" s="95"/>
      <c r="FO297" s="95"/>
      <c r="FP297" s="95"/>
      <c r="FQ297" s="95"/>
      <c r="FR297" s="95"/>
      <c r="FS297" s="95"/>
      <c r="FT297" s="95"/>
      <c r="FU297" s="95"/>
      <c r="FV297" s="95"/>
      <c r="FW297" s="95"/>
      <c r="FX297" s="95"/>
      <c r="FY297" s="95"/>
      <c r="FZ297" s="95"/>
      <c r="GA297" s="95"/>
      <c r="GB297" s="95"/>
      <c r="GC297" s="95"/>
      <c r="GD297" s="95"/>
      <c r="GE297" s="95"/>
      <c r="GF297" s="95"/>
      <c r="GG297" s="95"/>
      <c r="GH297" s="95"/>
      <c r="GI297" s="95"/>
      <c r="GJ297" s="95"/>
      <c r="GK297" s="95"/>
      <c r="GL297" s="95"/>
      <c r="GM297" s="95"/>
      <c r="GN297" s="95"/>
      <c r="GO297" s="95"/>
      <c r="GP297" s="95"/>
      <c r="GQ297" s="95"/>
      <c r="GR297" s="95"/>
      <c r="GS297" s="95"/>
      <c r="GT297" s="95"/>
      <c r="GU297" s="95"/>
      <c r="GV297" s="95"/>
      <c r="GW297" s="95"/>
      <c r="GX297" s="95"/>
      <c r="GY297" s="95"/>
    </row>
    <row r="298" spans="1:207" x14ac:dyDescent="0.45">
      <c r="A298" t="s">
        <v>59</v>
      </c>
      <c r="B298" t="s">
        <v>73</v>
      </c>
      <c r="C298" s="2" t="s">
        <v>33</v>
      </c>
      <c r="D298" t="s">
        <v>32</v>
      </c>
      <c r="E298" s="18">
        <v>0.52</v>
      </c>
      <c r="F298" s="18">
        <v>0.42000000000000004</v>
      </c>
      <c r="G298" s="18">
        <v>0.62</v>
      </c>
      <c r="H298" s="2" t="s">
        <v>31</v>
      </c>
      <c r="I298" t="s">
        <v>32</v>
      </c>
      <c r="J298" s="2"/>
      <c r="L298" s="2"/>
      <c r="N298" s="2"/>
      <c r="O298" s="109"/>
      <c r="P298" s="107"/>
      <c r="Q298" s="4"/>
      <c r="R298" s="97" t="s">
        <v>125</v>
      </c>
    </row>
    <row r="299" spans="1:207" x14ac:dyDescent="0.45">
      <c r="A299" t="s">
        <v>59</v>
      </c>
      <c r="B299" t="s">
        <v>73</v>
      </c>
      <c r="C299" s="2" t="s">
        <v>33</v>
      </c>
      <c r="D299" t="s">
        <v>32</v>
      </c>
      <c r="E299" s="18">
        <v>0</v>
      </c>
      <c r="F299" s="18">
        <v>0</v>
      </c>
      <c r="G299" s="18">
        <v>0</v>
      </c>
      <c r="H299" s="2" t="s">
        <v>31</v>
      </c>
      <c r="I299" t="s">
        <v>34</v>
      </c>
      <c r="J299" s="2"/>
      <c r="L299" s="2"/>
      <c r="N299" s="2"/>
      <c r="O299" s="109"/>
      <c r="P299" s="107"/>
      <c r="Q299" s="4"/>
      <c r="R299" s="97" t="s">
        <v>192</v>
      </c>
    </row>
    <row r="300" spans="1:207" s="31" customFormat="1" ht="28.5" x14ac:dyDescent="0.45">
      <c r="A300" s="31" t="s">
        <v>59</v>
      </c>
      <c r="B300" s="31" t="s">
        <v>73</v>
      </c>
      <c r="C300" s="32" t="s">
        <v>60</v>
      </c>
      <c r="D300" s="31" t="s">
        <v>32</v>
      </c>
      <c r="E300" s="33">
        <v>4.5090075198366997E-2</v>
      </c>
      <c r="F300" s="33">
        <v>3.0010181126055403E-2</v>
      </c>
      <c r="G300" s="33">
        <v>6.0424975981955786E-2</v>
      </c>
      <c r="H300" s="32" t="s">
        <v>33</v>
      </c>
      <c r="I300" s="31" t="s">
        <v>32</v>
      </c>
      <c r="J300" s="32"/>
      <c r="L300" s="32"/>
      <c r="N300" s="32"/>
      <c r="O300" s="110"/>
      <c r="P300" s="108"/>
      <c r="Q300" s="34"/>
      <c r="R300" s="98" t="s">
        <v>202</v>
      </c>
      <c r="X300" s="95"/>
      <c r="Y300" s="95"/>
      <c r="Z300" s="95"/>
      <c r="AA300" s="95"/>
      <c r="AB300" s="95"/>
      <c r="AC300" s="95"/>
      <c r="AD300" s="95"/>
      <c r="AE300" s="95"/>
      <c r="AF300" s="95"/>
      <c r="AG300" s="95"/>
      <c r="AH300" s="95"/>
      <c r="AI300" s="95"/>
      <c r="AJ300" s="95"/>
      <c r="AK300" s="95"/>
      <c r="AL300" s="95"/>
      <c r="AM300" s="95"/>
      <c r="AN300" s="95"/>
      <c r="AO300" s="95"/>
      <c r="AP300" s="95"/>
      <c r="AQ300" s="95"/>
      <c r="AR300" s="95"/>
      <c r="AS300" s="95"/>
      <c r="AT300" s="95"/>
      <c r="AU300" s="95"/>
      <c r="AV300" s="95"/>
      <c r="AW300" s="95"/>
      <c r="AX300" s="95"/>
      <c r="AY300" s="95"/>
      <c r="AZ300" s="95"/>
      <c r="BA300" s="95"/>
      <c r="BB300" s="95"/>
      <c r="BC300" s="95"/>
      <c r="BD300" s="95"/>
      <c r="BE300" s="95"/>
      <c r="BF300" s="95"/>
      <c r="BG300" s="95"/>
      <c r="BH300" s="95"/>
      <c r="BI300" s="95"/>
      <c r="BJ300" s="95"/>
      <c r="BK300" s="95"/>
      <c r="BL300" s="95"/>
      <c r="BM300" s="95"/>
      <c r="BN300" s="95"/>
      <c r="BO300" s="95"/>
      <c r="BP300" s="95"/>
      <c r="BQ300" s="95"/>
      <c r="BR300" s="95"/>
      <c r="BS300" s="95"/>
      <c r="BT300" s="95"/>
      <c r="BU300" s="95"/>
      <c r="BV300" s="95"/>
      <c r="BW300" s="95"/>
      <c r="BX300" s="95"/>
      <c r="BY300" s="95"/>
      <c r="BZ300" s="95"/>
      <c r="CA300" s="95"/>
      <c r="CB300" s="95"/>
      <c r="CC300" s="95"/>
      <c r="CD300" s="95"/>
      <c r="CE300" s="95"/>
      <c r="CF300" s="95"/>
      <c r="CG300" s="95"/>
      <c r="CH300" s="95"/>
      <c r="CI300" s="95"/>
      <c r="CJ300" s="95"/>
      <c r="CK300" s="95"/>
      <c r="CL300" s="95"/>
      <c r="CM300" s="95"/>
      <c r="CN300" s="95"/>
      <c r="CO300" s="95"/>
      <c r="CP300" s="95"/>
      <c r="CQ300" s="95"/>
      <c r="CR300" s="95"/>
      <c r="CS300" s="95"/>
      <c r="CT300" s="95"/>
      <c r="CU300" s="95"/>
      <c r="CV300" s="95"/>
      <c r="CW300" s="95"/>
      <c r="CX300" s="95"/>
      <c r="CY300" s="95"/>
      <c r="CZ300" s="95"/>
      <c r="DA300" s="95"/>
      <c r="DB300" s="95"/>
      <c r="DC300" s="95"/>
      <c r="DD300" s="95"/>
      <c r="DE300" s="95"/>
      <c r="DF300" s="95"/>
      <c r="DG300" s="95"/>
      <c r="DH300" s="95"/>
      <c r="DI300" s="95"/>
      <c r="DJ300" s="95"/>
      <c r="DK300" s="95"/>
      <c r="DL300" s="95"/>
      <c r="DM300" s="95"/>
      <c r="DN300" s="95"/>
      <c r="DO300" s="95"/>
      <c r="DP300" s="95"/>
      <c r="DQ300" s="95"/>
      <c r="DR300" s="95"/>
      <c r="DS300" s="95"/>
      <c r="DT300" s="95"/>
      <c r="DU300" s="95"/>
      <c r="DV300" s="95"/>
      <c r="DW300" s="95"/>
      <c r="DX300" s="95"/>
      <c r="DY300" s="95"/>
      <c r="DZ300" s="95"/>
      <c r="EA300" s="95"/>
      <c r="EB300" s="95"/>
      <c r="EC300" s="95"/>
      <c r="ED300" s="95"/>
      <c r="EE300" s="95"/>
      <c r="EF300" s="95"/>
      <c r="EG300" s="95"/>
      <c r="EH300" s="95"/>
      <c r="EI300" s="95"/>
      <c r="EJ300" s="95"/>
      <c r="EK300" s="95"/>
      <c r="EL300" s="95"/>
      <c r="EM300" s="95"/>
      <c r="EN300" s="95"/>
      <c r="EO300" s="95"/>
      <c r="EP300" s="95"/>
      <c r="EQ300" s="95"/>
      <c r="ER300" s="95"/>
      <c r="ES300" s="95"/>
      <c r="ET300" s="95"/>
      <c r="EU300" s="95"/>
      <c r="EV300" s="95"/>
      <c r="EW300" s="95"/>
      <c r="EX300" s="95"/>
      <c r="EY300" s="95"/>
      <c r="EZ300" s="95"/>
      <c r="FA300" s="95"/>
      <c r="FB300" s="95"/>
      <c r="FC300" s="95"/>
      <c r="FD300" s="95"/>
      <c r="FE300" s="95"/>
      <c r="FF300" s="95"/>
      <c r="FG300" s="95"/>
      <c r="FH300" s="95"/>
      <c r="FI300" s="95"/>
      <c r="FJ300" s="95"/>
      <c r="FK300" s="95"/>
      <c r="FL300" s="95"/>
      <c r="FM300" s="95"/>
      <c r="FN300" s="95"/>
      <c r="FO300" s="95"/>
      <c r="FP300" s="95"/>
      <c r="FQ300" s="95"/>
      <c r="FR300" s="95"/>
      <c r="FS300" s="95"/>
      <c r="FT300" s="95"/>
      <c r="FU300" s="95"/>
      <c r="FV300" s="95"/>
      <c r="FW300" s="95"/>
      <c r="FX300" s="95"/>
      <c r="FY300" s="95"/>
      <c r="FZ300" s="95"/>
      <c r="GA300" s="95"/>
      <c r="GB300" s="95"/>
      <c r="GC300" s="95"/>
      <c r="GD300" s="95"/>
      <c r="GE300" s="95"/>
      <c r="GF300" s="95"/>
      <c r="GG300" s="95"/>
      <c r="GH300" s="95"/>
      <c r="GI300" s="95"/>
      <c r="GJ300" s="95"/>
      <c r="GK300" s="95"/>
      <c r="GL300" s="95"/>
      <c r="GM300" s="95"/>
      <c r="GN300" s="95"/>
      <c r="GO300" s="95"/>
      <c r="GP300" s="95"/>
      <c r="GQ300" s="95"/>
      <c r="GR300" s="95"/>
      <c r="GS300" s="95"/>
      <c r="GT300" s="95"/>
      <c r="GU300" s="95"/>
      <c r="GV300" s="95"/>
      <c r="GW300" s="95"/>
      <c r="GX300" s="95"/>
      <c r="GY300" s="95"/>
    </row>
    <row r="301" spans="1:207" s="31" customFormat="1" ht="28.5" x14ac:dyDescent="0.45">
      <c r="A301" s="31" t="s">
        <v>59</v>
      </c>
      <c r="B301" s="31" t="s">
        <v>73</v>
      </c>
      <c r="C301" s="32" t="s">
        <v>60</v>
      </c>
      <c r="D301" s="31" t="s">
        <v>32</v>
      </c>
      <c r="E301" s="33">
        <v>6.0523590870291272E-2</v>
      </c>
      <c r="F301" s="33">
        <v>6.0020362252110805E-2</v>
      </c>
      <c r="G301" s="33">
        <v>6.1035329274702815E-2</v>
      </c>
      <c r="H301" s="32" t="s">
        <v>33</v>
      </c>
      <c r="I301" s="31" t="s">
        <v>34</v>
      </c>
      <c r="J301" s="32"/>
      <c r="L301" s="32"/>
      <c r="N301" s="32"/>
      <c r="O301" s="110"/>
      <c r="P301" s="108"/>
      <c r="Q301" s="34"/>
      <c r="R301" s="98" t="s">
        <v>202</v>
      </c>
      <c r="X301" s="95"/>
      <c r="Y301" s="95"/>
      <c r="Z301" s="95"/>
      <c r="AA301" s="95"/>
      <c r="AB301" s="95"/>
      <c r="AC301" s="95"/>
      <c r="AD301" s="95"/>
      <c r="AE301" s="95"/>
      <c r="AF301" s="95"/>
      <c r="AG301" s="95"/>
      <c r="AH301" s="95"/>
      <c r="AI301" s="95"/>
      <c r="AJ301" s="95"/>
      <c r="AK301" s="95"/>
      <c r="AL301" s="95"/>
      <c r="AM301" s="95"/>
      <c r="AN301" s="95"/>
      <c r="AO301" s="95"/>
      <c r="AP301" s="95"/>
      <c r="AQ301" s="95"/>
      <c r="AR301" s="95"/>
      <c r="AS301" s="95"/>
      <c r="AT301" s="95"/>
      <c r="AU301" s="95"/>
      <c r="AV301" s="95"/>
      <c r="AW301" s="95"/>
      <c r="AX301" s="95"/>
      <c r="AY301" s="95"/>
      <c r="AZ301" s="95"/>
      <c r="BA301" s="95"/>
      <c r="BB301" s="95"/>
      <c r="BC301" s="95"/>
      <c r="BD301" s="95"/>
      <c r="BE301" s="95"/>
      <c r="BF301" s="95"/>
      <c r="BG301" s="95"/>
      <c r="BH301" s="95"/>
      <c r="BI301" s="95"/>
      <c r="BJ301" s="95"/>
      <c r="BK301" s="95"/>
      <c r="BL301" s="95"/>
      <c r="BM301" s="95"/>
      <c r="BN301" s="95"/>
      <c r="BO301" s="95"/>
      <c r="BP301" s="95"/>
      <c r="BQ301" s="95"/>
      <c r="BR301" s="95"/>
      <c r="BS301" s="95"/>
      <c r="BT301" s="95"/>
      <c r="BU301" s="95"/>
      <c r="BV301" s="95"/>
      <c r="BW301" s="95"/>
      <c r="BX301" s="95"/>
      <c r="BY301" s="95"/>
      <c r="BZ301" s="95"/>
      <c r="CA301" s="95"/>
      <c r="CB301" s="95"/>
      <c r="CC301" s="95"/>
      <c r="CD301" s="95"/>
      <c r="CE301" s="95"/>
      <c r="CF301" s="95"/>
      <c r="CG301" s="95"/>
      <c r="CH301" s="95"/>
      <c r="CI301" s="95"/>
      <c r="CJ301" s="95"/>
      <c r="CK301" s="95"/>
      <c r="CL301" s="95"/>
      <c r="CM301" s="95"/>
      <c r="CN301" s="95"/>
      <c r="CO301" s="95"/>
      <c r="CP301" s="95"/>
      <c r="CQ301" s="95"/>
      <c r="CR301" s="95"/>
      <c r="CS301" s="95"/>
      <c r="CT301" s="95"/>
      <c r="CU301" s="95"/>
      <c r="CV301" s="95"/>
      <c r="CW301" s="95"/>
      <c r="CX301" s="95"/>
      <c r="CY301" s="95"/>
      <c r="CZ301" s="95"/>
      <c r="DA301" s="95"/>
      <c r="DB301" s="95"/>
      <c r="DC301" s="95"/>
      <c r="DD301" s="95"/>
      <c r="DE301" s="95"/>
      <c r="DF301" s="95"/>
      <c r="DG301" s="95"/>
      <c r="DH301" s="95"/>
      <c r="DI301" s="95"/>
      <c r="DJ301" s="95"/>
      <c r="DK301" s="95"/>
      <c r="DL301" s="95"/>
      <c r="DM301" s="95"/>
      <c r="DN301" s="95"/>
      <c r="DO301" s="95"/>
      <c r="DP301" s="95"/>
      <c r="DQ301" s="95"/>
      <c r="DR301" s="95"/>
      <c r="DS301" s="95"/>
      <c r="DT301" s="95"/>
      <c r="DU301" s="95"/>
      <c r="DV301" s="95"/>
      <c r="DW301" s="95"/>
      <c r="DX301" s="95"/>
      <c r="DY301" s="95"/>
      <c r="DZ301" s="95"/>
      <c r="EA301" s="95"/>
      <c r="EB301" s="95"/>
      <c r="EC301" s="95"/>
      <c r="ED301" s="95"/>
      <c r="EE301" s="95"/>
      <c r="EF301" s="95"/>
      <c r="EG301" s="95"/>
      <c r="EH301" s="95"/>
      <c r="EI301" s="95"/>
      <c r="EJ301" s="95"/>
      <c r="EK301" s="95"/>
      <c r="EL301" s="95"/>
      <c r="EM301" s="95"/>
      <c r="EN301" s="95"/>
      <c r="EO301" s="95"/>
      <c r="EP301" s="95"/>
      <c r="EQ301" s="95"/>
      <c r="ER301" s="95"/>
      <c r="ES301" s="95"/>
      <c r="ET301" s="95"/>
      <c r="EU301" s="95"/>
      <c r="EV301" s="95"/>
      <c r="EW301" s="95"/>
      <c r="EX301" s="95"/>
      <c r="EY301" s="95"/>
      <c r="EZ301" s="95"/>
      <c r="FA301" s="95"/>
      <c r="FB301" s="95"/>
      <c r="FC301" s="95"/>
      <c r="FD301" s="95"/>
      <c r="FE301" s="95"/>
      <c r="FF301" s="95"/>
      <c r="FG301" s="95"/>
      <c r="FH301" s="95"/>
      <c r="FI301" s="95"/>
      <c r="FJ301" s="95"/>
      <c r="FK301" s="95"/>
      <c r="FL301" s="95"/>
      <c r="FM301" s="95"/>
      <c r="FN301" s="95"/>
      <c r="FO301" s="95"/>
      <c r="FP301" s="95"/>
      <c r="FQ301" s="95"/>
      <c r="FR301" s="95"/>
      <c r="FS301" s="95"/>
      <c r="FT301" s="95"/>
      <c r="FU301" s="95"/>
      <c r="FV301" s="95"/>
      <c r="FW301" s="95"/>
      <c r="FX301" s="95"/>
      <c r="FY301" s="95"/>
      <c r="FZ301" s="95"/>
      <c r="GA301" s="95"/>
      <c r="GB301" s="95"/>
      <c r="GC301" s="95"/>
      <c r="GD301" s="95"/>
      <c r="GE301" s="95"/>
      <c r="GF301" s="95"/>
      <c r="GG301" s="95"/>
      <c r="GH301" s="95"/>
      <c r="GI301" s="95"/>
      <c r="GJ301" s="95"/>
      <c r="GK301" s="95"/>
      <c r="GL301" s="95"/>
      <c r="GM301" s="95"/>
      <c r="GN301" s="95"/>
      <c r="GO301" s="95"/>
      <c r="GP301" s="95"/>
      <c r="GQ301" s="95"/>
      <c r="GR301" s="95"/>
      <c r="GS301" s="95"/>
      <c r="GT301" s="95"/>
      <c r="GU301" s="95"/>
      <c r="GV301" s="95"/>
      <c r="GW301" s="95"/>
      <c r="GX301" s="95"/>
      <c r="GY301" s="95"/>
    </row>
    <row r="302" spans="1:207" x14ac:dyDescent="0.45">
      <c r="A302" t="s">
        <v>59</v>
      </c>
      <c r="B302" t="s">
        <v>73</v>
      </c>
      <c r="C302" s="2" t="s">
        <v>40</v>
      </c>
      <c r="D302" t="s">
        <v>32</v>
      </c>
      <c r="E302" s="18">
        <v>0</v>
      </c>
      <c r="F302" s="18">
        <v>0</v>
      </c>
      <c r="G302" s="53">
        <v>0</v>
      </c>
      <c r="H302" s="2" t="s">
        <v>24</v>
      </c>
      <c r="I302" t="s">
        <v>18</v>
      </c>
      <c r="J302" s="2"/>
      <c r="L302" s="2"/>
      <c r="N302" s="2"/>
      <c r="O302" s="109"/>
      <c r="P302" s="107"/>
      <c r="Q302" s="4"/>
      <c r="R302" s="97" t="s">
        <v>193</v>
      </c>
    </row>
    <row r="303" spans="1:207" x14ac:dyDescent="0.45">
      <c r="A303" t="s">
        <v>59</v>
      </c>
      <c r="B303" t="s">
        <v>73</v>
      </c>
      <c r="C303" s="2" t="s">
        <v>40</v>
      </c>
      <c r="D303" t="s">
        <v>32</v>
      </c>
      <c r="E303" s="18">
        <v>0.61499999999999999</v>
      </c>
      <c r="F303" s="18">
        <v>0.52</v>
      </c>
      <c r="G303" s="53">
        <v>0.71</v>
      </c>
      <c r="H303" s="2" t="s">
        <v>24</v>
      </c>
      <c r="I303" t="s">
        <v>25</v>
      </c>
      <c r="J303" s="2"/>
      <c r="L303" s="2"/>
      <c r="N303" s="2"/>
      <c r="O303" s="109"/>
      <c r="P303" s="107"/>
      <c r="Q303" s="4"/>
      <c r="R303" s="97" t="s">
        <v>100</v>
      </c>
    </row>
    <row r="304" spans="1:207" ht="28.5" x14ac:dyDescent="0.45">
      <c r="A304" t="s">
        <v>59</v>
      </c>
      <c r="B304" t="s">
        <v>73</v>
      </c>
      <c r="C304" s="2" t="s">
        <v>41</v>
      </c>
      <c r="D304" t="s">
        <v>32</v>
      </c>
      <c r="E304" s="18">
        <v>0.189</v>
      </c>
      <c r="F304" s="18">
        <v>0.1701</v>
      </c>
      <c r="G304" s="18">
        <v>0.2079</v>
      </c>
      <c r="H304" s="2" t="s">
        <v>40</v>
      </c>
      <c r="I304" t="s">
        <v>32</v>
      </c>
      <c r="J304" s="2" t="s">
        <v>60</v>
      </c>
      <c r="K304" t="s">
        <v>32</v>
      </c>
      <c r="L304" s="2"/>
      <c r="N304" s="2"/>
      <c r="O304" s="109"/>
      <c r="P304" s="107"/>
      <c r="Q304" s="4"/>
      <c r="R304" s="97" t="s">
        <v>194</v>
      </c>
    </row>
    <row r="305" spans="1:207" x14ac:dyDescent="0.45">
      <c r="A305" t="s">
        <v>59</v>
      </c>
      <c r="B305" t="s">
        <v>73</v>
      </c>
      <c r="C305" s="2" t="s">
        <v>41</v>
      </c>
      <c r="D305" t="s">
        <v>32</v>
      </c>
      <c r="E305" s="18">
        <v>0</v>
      </c>
      <c r="F305" s="18">
        <v>0</v>
      </c>
      <c r="G305" s="18">
        <v>0</v>
      </c>
      <c r="H305" s="2" t="s">
        <v>40</v>
      </c>
      <c r="I305" t="s">
        <v>34</v>
      </c>
      <c r="J305" s="2" t="s">
        <v>60</v>
      </c>
      <c r="K305" t="s">
        <v>32</v>
      </c>
      <c r="L305" s="2"/>
      <c r="N305" s="2"/>
      <c r="O305" s="109"/>
      <c r="P305" s="107"/>
      <c r="Q305" s="4"/>
      <c r="R305" s="97" t="s">
        <v>101</v>
      </c>
    </row>
    <row r="306" spans="1:207" x14ac:dyDescent="0.45">
      <c r="A306" t="s">
        <v>59</v>
      </c>
      <c r="B306" t="s">
        <v>73</v>
      </c>
      <c r="C306" s="2" t="s">
        <v>41</v>
      </c>
      <c r="D306" t="s">
        <v>32</v>
      </c>
      <c r="E306" s="18">
        <v>0</v>
      </c>
      <c r="F306" s="18">
        <v>0</v>
      </c>
      <c r="G306" s="18">
        <v>0</v>
      </c>
      <c r="H306" s="2" t="s">
        <v>40</v>
      </c>
      <c r="I306" t="s">
        <v>32</v>
      </c>
      <c r="J306" s="2" t="s">
        <v>60</v>
      </c>
      <c r="K306" t="s">
        <v>34</v>
      </c>
      <c r="L306" s="2"/>
      <c r="N306" s="2"/>
      <c r="O306" s="109"/>
      <c r="P306" s="107"/>
      <c r="Q306" s="4"/>
      <c r="R306" s="97" t="s">
        <v>101</v>
      </c>
    </row>
    <row r="307" spans="1:207" x14ac:dyDescent="0.45">
      <c r="A307" t="s">
        <v>59</v>
      </c>
      <c r="B307" t="s">
        <v>73</v>
      </c>
      <c r="C307" s="2" t="s">
        <v>41</v>
      </c>
      <c r="D307" t="s">
        <v>32</v>
      </c>
      <c r="E307" s="18">
        <v>0</v>
      </c>
      <c r="F307" s="18">
        <v>0</v>
      </c>
      <c r="G307" s="18">
        <v>0</v>
      </c>
      <c r="H307" s="2" t="s">
        <v>40</v>
      </c>
      <c r="I307" t="s">
        <v>34</v>
      </c>
      <c r="J307" s="2" t="s">
        <v>60</v>
      </c>
      <c r="K307" t="s">
        <v>34</v>
      </c>
      <c r="L307" s="2"/>
      <c r="N307" s="2"/>
      <c r="O307" s="109"/>
      <c r="P307" s="107"/>
      <c r="Q307" s="4"/>
      <c r="R307" s="97" t="s">
        <v>101</v>
      </c>
    </row>
    <row r="308" spans="1:207" ht="28.5" x14ac:dyDescent="0.45">
      <c r="A308" t="s">
        <v>59</v>
      </c>
      <c r="B308" t="s">
        <v>73</v>
      </c>
      <c r="C308" s="2" t="s">
        <v>61</v>
      </c>
      <c r="D308" t="s">
        <v>32</v>
      </c>
      <c r="E308" s="18">
        <v>0.17912261613207064</v>
      </c>
      <c r="F308" s="18">
        <v>7.9122616132070639E-2</v>
      </c>
      <c r="G308" s="18">
        <v>0.27912261613207068</v>
      </c>
      <c r="H308" s="2" t="s">
        <v>41</v>
      </c>
      <c r="I308" t="s">
        <v>32</v>
      </c>
      <c r="J308" s="2" t="s">
        <v>60</v>
      </c>
      <c r="K308" t="s">
        <v>32</v>
      </c>
      <c r="L308" s="2" t="s">
        <v>29</v>
      </c>
      <c r="M308" t="s">
        <v>18</v>
      </c>
      <c r="N308" s="2"/>
      <c r="O308" s="109"/>
      <c r="P308" s="107"/>
      <c r="Q308" s="4"/>
      <c r="R308" s="97" t="s">
        <v>111</v>
      </c>
    </row>
    <row r="309" spans="1:207" ht="28.5" x14ac:dyDescent="0.45">
      <c r="A309" t="s">
        <v>59</v>
      </c>
      <c r="B309" t="s">
        <v>73</v>
      </c>
      <c r="C309" s="2" t="s">
        <v>61</v>
      </c>
      <c r="D309" t="s">
        <v>32</v>
      </c>
      <c r="E309" s="18">
        <v>0.17912261613207064</v>
      </c>
      <c r="F309" s="18">
        <v>7.9122616132070639E-2</v>
      </c>
      <c r="G309" s="18">
        <v>0.27912261613207068</v>
      </c>
      <c r="H309" s="2" t="s">
        <v>41</v>
      </c>
      <c r="I309" t="s">
        <v>34</v>
      </c>
      <c r="J309" s="2" t="s">
        <v>60</v>
      </c>
      <c r="K309" t="s">
        <v>32</v>
      </c>
      <c r="L309" s="2" t="s">
        <v>29</v>
      </c>
      <c r="M309" t="s">
        <v>18</v>
      </c>
      <c r="N309" s="2"/>
      <c r="O309" s="109"/>
      <c r="P309" s="107"/>
      <c r="Q309" s="4"/>
      <c r="R309" s="97" t="s">
        <v>111</v>
      </c>
    </row>
    <row r="310" spans="1:207" x14ac:dyDescent="0.45">
      <c r="A310" t="s">
        <v>59</v>
      </c>
      <c r="B310" t="s">
        <v>73</v>
      </c>
      <c r="C310" s="2" t="s">
        <v>61</v>
      </c>
      <c r="D310" t="s">
        <v>32</v>
      </c>
      <c r="E310" s="18">
        <v>0</v>
      </c>
      <c r="F310" s="18">
        <v>0</v>
      </c>
      <c r="G310" s="18">
        <v>0</v>
      </c>
      <c r="H310" s="2" t="s">
        <v>41</v>
      </c>
      <c r="I310" t="s">
        <v>32</v>
      </c>
      <c r="J310" s="2" t="s">
        <v>60</v>
      </c>
      <c r="K310" t="s">
        <v>34</v>
      </c>
      <c r="L310" s="2" t="s">
        <v>29</v>
      </c>
      <c r="M310" t="s">
        <v>18</v>
      </c>
      <c r="N310" s="3"/>
      <c r="O310" s="109"/>
      <c r="P310" s="107"/>
      <c r="Q310" s="4"/>
      <c r="R310" s="97" t="s">
        <v>101</v>
      </c>
    </row>
    <row r="311" spans="1:207" x14ac:dyDescent="0.45">
      <c r="A311" t="s">
        <v>59</v>
      </c>
      <c r="B311" t="s">
        <v>73</v>
      </c>
      <c r="C311" s="2" t="s">
        <v>61</v>
      </c>
      <c r="D311" t="s">
        <v>32</v>
      </c>
      <c r="E311" s="18">
        <v>0</v>
      </c>
      <c r="F311" s="18">
        <v>0</v>
      </c>
      <c r="G311" s="18">
        <v>0</v>
      </c>
      <c r="H311" s="2" t="s">
        <v>41</v>
      </c>
      <c r="I311" t="s">
        <v>34</v>
      </c>
      <c r="J311" s="2" t="s">
        <v>60</v>
      </c>
      <c r="K311" t="s">
        <v>34</v>
      </c>
      <c r="L311" s="2" t="s">
        <v>29</v>
      </c>
      <c r="M311" t="s">
        <v>18</v>
      </c>
      <c r="N311" s="2"/>
      <c r="O311" s="109"/>
      <c r="P311" s="107"/>
      <c r="Q311" s="4"/>
      <c r="R311" s="97" t="s">
        <v>101</v>
      </c>
    </row>
    <row r="312" spans="1:207" ht="28.5" x14ac:dyDescent="0.45">
      <c r="A312" t="s">
        <v>59</v>
      </c>
      <c r="B312" t="s">
        <v>73</v>
      </c>
      <c r="C312" s="2" t="s">
        <v>61</v>
      </c>
      <c r="D312" t="s">
        <v>32</v>
      </c>
      <c r="E312" s="18">
        <v>0.6</v>
      </c>
      <c r="F312" s="18">
        <v>0.5</v>
      </c>
      <c r="G312" s="18">
        <v>0.7</v>
      </c>
      <c r="H312" s="2" t="s">
        <v>41</v>
      </c>
      <c r="I312" t="s">
        <v>32</v>
      </c>
      <c r="J312" s="2" t="s">
        <v>60</v>
      </c>
      <c r="K312" t="s">
        <v>32</v>
      </c>
      <c r="L312" s="2" t="s">
        <v>29</v>
      </c>
      <c r="M312" t="s">
        <v>30</v>
      </c>
      <c r="N312" s="2"/>
      <c r="O312" s="109"/>
      <c r="P312" s="107"/>
      <c r="Q312" s="4"/>
      <c r="R312" s="102" t="s">
        <v>195</v>
      </c>
    </row>
    <row r="313" spans="1:207" x14ac:dyDescent="0.45">
      <c r="A313" t="s">
        <v>59</v>
      </c>
      <c r="B313" t="s">
        <v>73</v>
      </c>
      <c r="C313" s="2" t="s">
        <v>61</v>
      </c>
      <c r="D313" t="s">
        <v>32</v>
      </c>
      <c r="E313" s="18">
        <v>0.6</v>
      </c>
      <c r="F313" s="18">
        <v>0.5</v>
      </c>
      <c r="G313" s="18">
        <v>0.7</v>
      </c>
      <c r="H313" s="2" t="s">
        <v>41</v>
      </c>
      <c r="I313" t="s">
        <v>34</v>
      </c>
      <c r="J313" s="2" t="s">
        <v>60</v>
      </c>
      <c r="K313" t="s">
        <v>32</v>
      </c>
      <c r="L313" s="2" t="s">
        <v>29</v>
      </c>
      <c r="M313" t="s">
        <v>30</v>
      </c>
      <c r="N313" s="2"/>
      <c r="O313" s="109"/>
      <c r="P313" s="107"/>
      <c r="Q313" s="4"/>
      <c r="R313" s="102" t="s">
        <v>136</v>
      </c>
    </row>
    <row r="314" spans="1:207" x14ac:dyDescent="0.45">
      <c r="A314" t="s">
        <v>59</v>
      </c>
      <c r="B314" t="s">
        <v>73</v>
      </c>
      <c r="C314" s="2" t="s">
        <v>61</v>
      </c>
      <c r="D314" t="s">
        <v>32</v>
      </c>
      <c r="E314" s="18">
        <v>0</v>
      </c>
      <c r="F314" s="18">
        <v>0</v>
      </c>
      <c r="G314" s="18">
        <v>0</v>
      </c>
      <c r="H314" s="2" t="s">
        <v>41</v>
      </c>
      <c r="I314" t="s">
        <v>32</v>
      </c>
      <c r="J314" s="2" t="s">
        <v>60</v>
      </c>
      <c r="K314" t="s">
        <v>34</v>
      </c>
      <c r="L314" s="2" t="s">
        <v>29</v>
      </c>
      <c r="M314" t="s">
        <v>30</v>
      </c>
      <c r="N314" s="2"/>
      <c r="O314" s="109"/>
      <c r="P314" s="107"/>
      <c r="Q314" s="4"/>
      <c r="R314" s="97" t="s">
        <v>101</v>
      </c>
    </row>
    <row r="315" spans="1:207" x14ac:dyDescent="0.45">
      <c r="A315" t="s">
        <v>59</v>
      </c>
      <c r="B315" t="s">
        <v>73</v>
      </c>
      <c r="C315" s="2" t="s">
        <v>61</v>
      </c>
      <c r="D315" t="s">
        <v>32</v>
      </c>
      <c r="E315" s="18">
        <v>0</v>
      </c>
      <c r="F315" s="18">
        <v>0</v>
      </c>
      <c r="G315" s="18">
        <v>0</v>
      </c>
      <c r="H315" s="2" t="s">
        <v>41</v>
      </c>
      <c r="I315" t="s">
        <v>34</v>
      </c>
      <c r="J315" s="2" t="s">
        <v>60</v>
      </c>
      <c r="K315" t="s">
        <v>34</v>
      </c>
      <c r="L315" s="2" t="s">
        <v>29</v>
      </c>
      <c r="M315" t="s">
        <v>30</v>
      </c>
      <c r="N315" s="2"/>
      <c r="O315" s="109"/>
      <c r="P315" s="107"/>
      <c r="Q315" s="4"/>
      <c r="R315" s="97" t="s">
        <v>101</v>
      </c>
    </row>
    <row r="316" spans="1:207" s="31" customFormat="1" ht="28.5" x14ac:dyDescent="0.45">
      <c r="A316" s="31" t="s">
        <v>59</v>
      </c>
      <c r="B316" s="31" t="s">
        <v>73</v>
      </c>
      <c r="C316" s="32" t="s">
        <v>62</v>
      </c>
      <c r="D316" s="31" t="s">
        <v>32</v>
      </c>
      <c r="E316" s="44">
        <v>4.0508341131318413E-4</v>
      </c>
      <c r="F316" s="44">
        <v>1.1767528028151912E-4</v>
      </c>
      <c r="G316" s="44">
        <v>8.1011335199950192E-4</v>
      </c>
      <c r="H316" s="32" t="s">
        <v>61</v>
      </c>
      <c r="I316" s="31" t="s">
        <v>32</v>
      </c>
      <c r="J316" s="32" t="s">
        <v>41</v>
      </c>
      <c r="K316" s="31" t="s">
        <v>32</v>
      </c>
      <c r="L316" s="32" t="s">
        <v>60</v>
      </c>
      <c r="M316" s="31" t="s">
        <v>32</v>
      </c>
      <c r="N316" s="32"/>
      <c r="O316" s="110"/>
      <c r="P316" s="108"/>
      <c r="Q316" s="34"/>
      <c r="R316" s="98" t="s">
        <v>203</v>
      </c>
      <c r="X316" s="95"/>
      <c r="Y316" s="95"/>
      <c r="Z316" s="95"/>
      <c r="AA316" s="95"/>
      <c r="AB316" s="95"/>
      <c r="AC316" s="95"/>
      <c r="AD316" s="95"/>
      <c r="AE316" s="95"/>
      <c r="AF316" s="95"/>
      <c r="AG316" s="95"/>
      <c r="AH316" s="95"/>
      <c r="AI316" s="95"/>
      <c r="AJ316" s="95"/>
      <c r="AK316" s="95"/>
      <c r="AL316" s="95"/>
      <c r="AM316" s="95"/>
      <c r="AN316" s="95"/>
      <c r="AO316" s="95"/>
      <c r="AP316" s="95"/>
      <c r="AQ316" s="95"/>
      <c r="AR316" s="95"/>
      <c r="AS316" s="95"/>
      <c r="AT316" s="95"/>
      <c r="AU316" s="95"/>
      <c r="AV316" s="95"/>
      <c r="AW316" s="95"/>
      <c r="AX316" s="95"/>
      <c r="AY316" s="95"/>
      <c r="AZ316" s="95"/>
      <c r="BA316" s="95"/>
      <c r="BB316" s="95"/>
      <c r="BC316" s="95"/>
      <c r="BD316" s="95"/>
      <c r="BE316" s="95"/>
      <c r="BF316" s="95"/>
      <c r="BG316" s="95"/>
      <c r="BH316" s="95"/>
      <c r="BI316" s="95"/>
      <c r="BJ316" s="95"/>
      <c r="BK316" s="95"/>
      <c r="BL316" s="95"/>
      <c r="BM316" s="95"/>
      <c r="BN316" s="95"/>
      <c r="BO316" s="95"/>
      <c r="BP316" s="95"/>
      <c r="BQ316" s="95"/>
      <c r="BR316" s="95"/>
      <c r="BS316" s="95"/>
      <c r="BT316" s="95"/>
      <c r="BU316" s="95"/>
      <c r="BV316" s="95"/>
      <c r="BW316" s="95"/>
      <c r="BX316" s="95"/>
      <c r="BY316" s="95"/>
      <c r="BZ316" s="95"/>
      <c r="CA316" s="95"/>
      <c r="CB316" s="95"/>
      <c r="CC316" s="95"/>
      <c r="CD316" s="95"/>
      <c r="CE316" s="95"/>
      <c r="CF316" s="95"/>
      <c r="CG316" s="95"/>
      <c r="CH316" s="95"/>
      <c r="CI316" s="95"/>
      <c r="CJ316" s="95"/>
      <c r="CK316" s="95"/>
      <c r="CL316" s="95"/>
      <c r="CM316" s="95"/>
      <c r="CN316" s="95"/>
      <c r="CO316" s="95"/>
      <c r="CP316" s="95"/>
      <c r="CQ316" s="95"/>
      <c r="CR316" s="95"/>
      <c r="CS316" s="95"/>
      <c r="CT316" s="95"/>
      <c r="CU316" s="95"/>
      <c r="CV316" s="95"/>
      <c r="CW316" s="95"/>
      <c r="CX316" s="95"/>
      <c r="CY316" s="95"/>
      <c r="CZ316" s="95"/>
      <c r="DA316" s="95"/>
      <c r="DB316" s="95"/>
      <c r="DC316" s="95"/>
      <c r="DD316" s="95"/>
      <c r="DE316" s="95"/>
      <c r="DF316" s="95"/>
      <c r="DG316" s="95"/>
      <c r="DH316" s="95"/>
      <c r="DI316" s="95"/>
      <c r="DJ316" s="95"/>
      <c r="DK316" s="95"/>
      <c r="DL316" s="95"/>
      <c r="DM316" s="95"/>
      <c r="DN316" s="95"/>
      <c r="DO316" s="95"/>
      <c r="DP316" s="95"/>
      <c r="DQ316" s="95"/>
      <c r="DR316" s="95"/>
      <c r="DS316" s="95"/>
      <c r="DT316" s="95"/>
      <c r="DU316" s="95"/>
      <c r="DV316" s="95"/>
      <c r="DW316" s="95"/>
      <c r="DX316" s="95"/>
      <c r="DY316" s="95"/>
      <c r="DZ316" s="95"/>
      <c r="EA316" s="95"/>
      <c r="EB316" s="95"/>
      <c r="EC316" s="95"/>
      <c r="ED316" s="95"/>
      <c r="EE316" s="95"/>
      <c r="EF316" s="95"/>
      <c r="EG316" s="95"/>
      <c r="EH316" s="95"/>
      <c r="EI316" s="95"/>
      <c r="EJ316" s="95"/>
      <c r="EK316" s="95"/>
      <c r="EL316" s="95"/>
      <c r="EM316" s="95"/>
      <c r="EN316" s="95"/>
      <c r="EO316" s="95"/>
      <c r="EP316" s="95"/>
      <c r="EQ316" s="95"/>
      <c r="ER316" s="95"/>
      <c r="ES316" s="95"/>
      <c r="ET316" s="95"/>
      <c r="EU316" s="95"/>
      <c r="EV316" s="95"/>
      <c r="EW316" s="95"/>
      <c r="EX316" s="95"/>
      <c r="EY316" s="95"/>
      <c r="EZ316" s="95"/>
      <c r="FA316" s="95"/>
      <c r="FB316" s="95"/>
      <c r="FC316" s="95"/>
      <c r="FD316" s="95"/>
      <c r="FE316" s="95"/>
      <c r="FF316" s="95"/>
      <c r="FG316" s="95"/>
      <c r="FH316" s="95"/>
      <c r="FI316" s="95"/>
      <c r="FJ316" s="95"/>
      <c r="FK316" s="95"/>
      <c r="FL316" s="95"/>
      <c r="FM316" s="95"/>
      <c r="FN316" s="95"/>
      <c r="FO316" s="95"/>
      <c r="FP316" s="95"/>
      <c r="FQ316" s="95"/>
      <c r="FR316" s="95"/>
      <c r="FS316" s="95"/>
      <c r="FT316" s="95"/>
      <c r="FU316" s="95"/>
      <c r="FV316" s="95"/>
      <c r="FW316" s="95"/>
      <c r="FX316" s="95"/>
      <c r="FY316" s="95"/>
      <c r="FZ316" s="95"/>
      <c r="GA316" s="95"/>
      <c r="GB316" s="95"/>
      <c r="GC316" s="95"/>
      <c r="GD316" s="95"/>
      <c r="GE316" s="95"/>
      <c r="GF316" s="95"/>
      <c r="GG316" s="95"/>
      <c r="GH316" s="95"/>
      <c r="GI316" s="95"/>
      <c r="GJ316" s="95"/>
      <c r="GK316" s="95"/>
      <c r="GL316" s="95"/>
      <c r="GM316" s="95"/>
      <c r="GN316" s="95"/>
      <c r="GO316" s="95"/>
      <c r="GP316" s="95"/>
      <c r="GQ316" s="95"/>
      <c r="GR316" s="95"/>
      <c r="GS316" s="95"/>
      <c r="GT316" s="95"/>
      <c r="GU316" s="95"/>
      <c r="GV316" s="95"/>
      <c r="GW316" s="95"/>
      <c r="GX316" s="95"/>
      <c r="GY316" s="95"/>
    </row>
    <row r="317" spans="1:207" s="31" customFormat="1" ht="28.5" x14ac:dyDescent="0.45">
      <c r="A317" s="31" t="s">
        <v>59</v>
      </c>
      <c r="B317" s="31" t="s">
        <v>73</v>
      </c>
      <c r="C317" s="32" t="s">
        <v>62</v>
      </c>
      <c r="D317" s="31" t="s">
        <v>32</v>
      </c>
      <c r="E317" s="44">
        <v>5.0635426414148022E-3</v>
      </c>
      <c r="F317" s="44">
        <v>3.9225093427173036E-3</v>
      </c>
      <c r="G317" s="44">
        <v>6.2316411692269376E-3</v>
      </c>
      <c r="H317" s="32" t="s">
        <v>61</v>
      </c>
      <c r="I317" s="31" t="s">
        <v>34</v>
      </c>
      <c r="J317" s="32" t="s">
        <v>41</v>
      </c>
      <c r="K317" s="31" t="s">
        <v>32</v>
      </c>
      <c r="L317" s="32" t="s">
        <v>60</v>
      </c>
      <c r="M317" s="31" t="s">
        <v>32</v>
      </c>
      <c r="N317" s="32"/>
      <c r="O317" s="110"/>
      <c r="P317" s="108"/>
      <c r="Q317" s="34"/>
      <c r="R317" s="98" t="s">
        <v>203</v>
      </c>
      <c r="X317" s="95"/>
      <c r="Y317" s="95"/>
      <c r="Z317" s="95"/>
      <c r="AA317" s="95"/>
      <c r="AB317" s="95"/>
      <c r="AC317" s="95"/>
      <c r="AD317" s="95"/>
      <c r="AE317" s="95"/>
      <c r="AF317" s="95"/>
      <c r="AG317" s="95"/>
      <c r="AH317" s="95"/>
      <c r="AI317" s="95"/>
      <c r="AJ317" s="95"/>
      <c r="AK317" s="95"/>
      <c r="AL317" s="95"/>
      <c r="AM317" s="95"/>
      <c r="AN317" s="95"/>
      <c r="AO317" s="95"/>
      <c r="AP317" s="95"/>
      <c r="AQ317" s="95"/>
      <c r="AR317" s="95"/>
      <c r="AS317" s="95"/>
      <c r="AT317" s="95"/>
      <c r="AU317" s="95"/>
      <c r="AV317" s="95"/>
      <c r="AW317" s="95"/>
      <c r="AX317" s="95"/>
      <c r="AY317" s="95"/>
      <c r="AZ317" s="95"/>
      <c r="BA317" s="95"/>
      <c r="BB317" s="95"/>
      <c r="BC317" s="95"/>
      <c r="BD317" s="95"/>
      <c r="BE317" s="95"/>
      <c r="BF317" s="95"/>
      <c r="BG317" s="95"/>
      <c r="BH317" s="95"/>
      <c r="BI317" s="95"/>
      <c r="BJ317" s="95"/>
      <c r="BK317" s="95"/>
      <c r="BL317" s="95"/>
      <c r="BM317" s="95"/>
      <c r="BN317" s="95"/>
      <c r="BO317" s="95"/>
      <c r="BP317" s="95"/>
      <c r="BQ317" s="95"/>
      <c r="BR317" s="95"/>
      <c r="BS317" s="95"/>
      <c r="BT317" s="95"/>
      <c r="BU317" s="95"/>
      <c r="BV317" s="95"/>
      <c r="BW317" s="95"/>
      <c r="BX317" s="95"/>
      <c r="BY317" s="95"/>
      <c r="BZ317" s="95"/>
      <c r="CA317" s="95"/>
      <c r="CB317" s="95"/>
      <c r="CC317" s="95"/>
      <c r="CD317" s="95"/>
      <c r="CE317" s="95"/>
      <c r="CF317" s="95"/>
      <c r="CG317" s="95"/>
      <c r="CH317" s="95"/>
      <c r="CI317" s="95"/>
      <c r="CJ317" s="95"/>
      <c r="CK317" s="95"/>
      <c r="CL317" s="95"/>
      <c r="CM317" s="95"/>
      <c r="CN317" s="95"/>
      <c r="CO317" s="95"/>
      <c r="CP317" s="95"/>
      <c r="CQ317" s="95"/>
      <c r="CR317" s="95"/>
      <c r="CS317" s="95"/>
      <c r="CT317" s="95"/>
      <c r="CU317" s="95"/>
      <c r="CV317" s="95"/>
      <c r="CW317" s="95"/>
      <c r="CX317" s="95"/>
      <c r="CY317" s="95"/>
      <c r="CZ317" s="95"/>
      <c r="DA317" s="95"/>
      <c r="DB317" s="95"/>
      <c r="DC317" s="95"/>
      <c r="DD317" s="95"/>
      <c r="DE317" s="95"/>
      <c r="DF317" s="95"/>
      <c r="DG317" s="95"/>
      <c r="DH317" s="95"/>
      <c r="DI317" s="95"/>
      <c r="DJ317" s="95"/>
      <c r="DK317" s="95"/>
      <c r="DL317" s="95"/>
      <c r="DM317" s="95"/>
      <c r="DN317" s="95"/>
      <c r="DO317" s="95"/>
      <c r="DP317" s="95"/>
      <c r="DQ317" s="95"/>
      <c r="DR317" s="95"/>
      <c r="DS317" s="95"/>
      <c r="DT317" s="95"/>
      <c r="DU317" s="95"/>
      <c r="DV317" s="95"/>
      <c r="DW317" s="95"/>
      <c r="DX317" s="95"/>
      <c r="DY317" s="95"/>
      <c r="DZ317" s="95"/>
      <c r="EA317" s="95"/>
      <c r="EB317" s="95"/>
      <c r="EC317" s="95"/>
      <c r="ED317" s="95"/>
      <c r="EE317" s="95"/>
      <c r="EF317" s="95"/>
      <c r="EG317" s="95"/>
      <c r="EH317" s="95"/>
      <c r="EI317" s="95"/>
      <c r="EJ317" s="95"/>
      <c r="EK317" s="95"/>
      <c r="EL317" s="95"/>
      <c r="EM317" s="95"/>
      <c r="EN317" s="95"/>
      <c r="EO317" s="95"/>
      <c r="EP317" s="95"/>
      <c r="EQ317" s="95"/>
      <c r="ER317" s="95"/>
      <c r="ES317" s="95"/>
      <c r="ET317" s="95"/>
      <c r="EU317" s="95"/>
      <c r="EV317" s="95"/>
      <c r="EW317" s="95"/>
      <c r="EX317" s="95"/>
      <c r="EY317" s="95"/>
      <c r="EZ317" s="95"/>
      <c r="FA317" s="95"/>
      <c r="FB317" s="95"/>
      <c r="FC317" s="95"/>
      <c r="FD317" s="95"/>
      <c r="FE317" s="95"/>
      <c r="FF317" s="95"/>
      <c r="FG317" s="95"/>
      <c r="FH317" s="95"/>
      <c r="FI317" s="95"/>
      <c r="FJ317" s="95"/>
      <c r="FK317" s="95"/>
      <c r="FL317" s="95"/>
      <c r="FM317" s="95"/>
      <c r="FN317" s="95"/>
      <c r="FO317" s="95"/>
      <c r="FP317" s="95"/>
      <c r="FQ317" s="95"/>
      <c r="FR317" s="95"/>
      <c r="FS317" s="95"/>
      <c r="FT317" s="95"/>
      <c r="FU317" s="95"/>
      <c r="FV317" s="95"/>
      <c r="FW317" s="95"/>
      <c r="FX317" s="95"/>
      <c r="FY317" s="95"/>
      <c r="FZ317" s="95"/>
      <c r="GA317" s="95"/>
      <c r="GB317" s="95"/>
      <c r="GC317" s="95"/>
      <c r="GD317" s="95"/>
      <c r="GE317" s="95"/>
      <c r="GF317" s="95"/>
      <c r="GG317" s="95"/>
      <c r="GH317" s="95"/>
      <c r="GI317" s="95"/>
      <c r="GJ317" s="95"/>
      <c r="GK317" s="95"/>
      <c r="GL317" s="95"/>
      <c r="GM317" s="95"/>
      <c r="GN317" s="95"/>
      <c r="GO317" s="95"/>
      <c r="GP317" s="95"/>
      <c r="GQ317" s="95"/>
      <c r="GR317" s="95"/>
      <c r="GS317" s="95"/>
      <c r="GT317" s="95"/>
      <c r="GU317" s="95"/>
      <c r="GV317" s="95"/>
      <c r="GW317" s="95"/>
      <c r="GX317" s="95"/>
      <c r="GY317" s="95"/>
    </row>
    <row r="318" spans="1:207" s="31" customFormat="1" ht="28.5" x14ac:dyDescent="0.45">
      <c r="A318" s="31" t="s">
        <v>59</v>
      </c>
      <c r="B318" s="31" t="s">
        <v>73</v>
      </c>
      <c r="C318" s="32" t="s">
        <v>62</v>
      </c>
      <c r="D318" s="31" t="s">
        <v>32</v>
      </c>
      <c r="E318" s="44">
        <v>1.0948200305761725E-2</v>
      </c>
      <c r="F318" s="44">
        <v>4.0577682855696207E-3</v>
      </c>
      <c r="G318" s="44">
        <v>1.8002518933322248E-2</v>
      </c>
      <c r="H318" s="32" t="s">
        <v>61</v>
      </c>
      <c r="I318" s="31" t="s">
        <v>32</v>
      </c>
      <c r="J318" s="32" t="s">
        <v>41</v>
      </c>
      <c r="K318" s="31" t="s">
        <v>34</v>
      </c>
      <c r="L318" s="32" t="s">
        <v>60</v>
      </c>
      <c r="M318" s="31" t="s">
        <v>32</v>
      </c>
      <c r="N318" s="32"/>
      <c r="O318" s="110"/>
      <c r="P318" s="108"/>
      <c r="Q318" s="34"/>
      <c r="R318" s="98" t="s">
        <v>203</v>
      </c>
      <c r="X318" s="95"/>
      <c r="Y318" s="95"/>
      <c r="Z318" s="95"/>
      <c r="AA318" s="95"/>
      <c r="AB318" s="95"/>
      <c r="AC318" s="95"/>
      <c r="AD318" s="95"/>
      <c r="AE318" s="95"/>
      <c r="AF318" s="95"/>
      <c r="AG318" s="95"/>
      <c r="AH318" s="95"/>
      <c r="AI318" s="95"/>
      <c r="AJ318" s="95"/>
      <c r="AK318" s="95"/>
      <c r="AL318" s="95"/>
      <c r="AM318" s="95"/>
      <c r="AN318" s="95"/>
      <c r="AO318" s="95"/>
      <c r="AP318" s="95"/>
      <c r="AQ318" s="95"/>
      <c r="AR318" s="95"/>
      <c r="AS318" s="95"/>
      <c r="AT318" s="95"/>
      <c r="AU318" s="95"/>
      <c r="AV318" s="95"/>
      <c r="AW318" s="95"/>
      <c r="AX318" s="95"/>
      <c r="AY318" s="95"/>
      <c r="AZ318" s="95"/>
      <c r="BA318" s="95"/>
      <c r="BB318" s="95"/>
      <c r="BC318" s="95"/>
      <c r="BD318" s="95"/>
      <c r="BE318" s="95"/>
      <c r="BF318" s="95"/>
      <c r="BG318" s="95"/>
      <c r="BH318" s="95"/>
      <c r="BI318" s="95"/>
      <c r="BJ318" s="95"/>
      <c r="BK318" s="95"/>
      <c r="BL318" s="95"/>
      <c r="BM318" s="95"/>
      <c r="BN318" s="95"/>
      <c r="BO318" s="95"/>
      <c r="BP318" s="95"/>
      <c r="BQ318" s="95"/>
      <c r="BR318" s="95"/>
      <c r="BS318" s="95"/>
      <c r="BT318" s="95"/>
      <c r="BU318" s="95"/>
      <c r="BV318" s="95"/>
      <c r="BW318" s="95"/>
      <c r="BX318" s="95"/>
      <c r="BY318" s="95"/>
      <c r="BZ318" s="95"/>
      <c r="CA318" s="95"/>
      <c r="CB318" s="95"/>
      <c r="CC318" s="95"/>
      <c r="CD318" s="95"/>
      <c r="CE318" s="95"/>
      <c r="CF318" s="95"/>
      <c r="CG318" s="95"/>
      <c r="CH318" s="95"/>
      <c r="CI318" s="95"/>
      <c r="CJ318" s="95"/>
      <c r="CK318" s="95"/>
      <c r="CL318" s="95"/>
      <c r="CM318" s="95"/>
      <c r="CN318" s="95"/>
      <c r="CO318" s="95"/>
      <c r="CP318" s="95"/>
      <c r="CQ318" s="95"/>
      <c r="CR318" s="95"/>
      <c r="CS318" s="95"/>
      <c r="CT318" s="95"/>
      <c r="CU318" s="95"/>
      <c r="CV318" s="95"/>
      <c r="CW318" s="95"/>
      <c r="CX318" s="95"/>
      <c r="CY318" s="95"/>
      <c r="CZ318" s="95"/>
      <c r="DA318" s="95"/>
      <c r="DB318" s="95"/>
      <c r="DC318" s="95"/>
      <c r="DD318" s="95"/>
      <c r="DE318" s="95"/>
      <c r="DF318" s="95"/>
      <c r="DG318" s="95"/>
      <c r="DH318" s="95"/>
      <c r="DI318" s="95"/>
      <c r="DJ318" s="95"/>
      <c r="DK318" s="95"/>
      <c r="DL318" s="95"/>
      <c r="DM318" s="95"/>
      <c r="DN318" s="95"/>
      <c r="DO318" s="95"/>
      <c r="DP318" s="95"/>
      <c r="DQ318" s="95"/>
      <c r="DR318" s="95"/>
      <c r="DS318" s="95"/>
      <c r="DT318" s="95"/>
      <c r="DU318" s="95"/>
      <c r="DV318" s="95"/>
      <c r="DW318" s="95"/>
      <c r="DX318" s="95"/>
      <c r="DY318" s="95"/>
      <c r="DZ318" s="95"/>
      <c r="EA318" s="95"/>
      <c r="EB318" s="95"/>
      <c r="EC318" s="95"/>
      <c r="ED318" s="95"/>
      <c r="EE318" s="95"/>
      <c r="EF318" s="95"/>
      <c r="EG318" s="95"/>
      <c r="EH318" s="95"/>
      <c r="EI318" s="95"/>
      <c r="EJ318" s="95"/>
      <c r="EK318" s="95"/>
      <c r="EL318" s="95"/>
      <c r="EM318" s="95"/>
      <c r="EN318" s="95"/>
      <c r="EO318" s="95"/>
      <c r="EP318" s="95"/>
      <c r="EQ318" s="95"/>
      <c r="ER318" s="95"/>
      <c r="ES318" s="95"/>
      <c r="ET318" s="95"/>
      <c r="EU318" s="95"/>
      <c r="EV318" s="95"/>
      <c r="EW318" s="95"/>
      <c r="EX318" s="95"/>
      <c r="EY318" s="95"/>
      <c r="EZ318" s="95"/>
      <c r="FA318" s="95"/>
      <c r="FB318" s="95"/>
      <c r="FC318" s="95"/>
      <c r="FD318" s="95"/>
      <c r="FE318" s="95"/>
      <c r="FF318" s="95"/>
      <c r="FG318" s="95"/>
      <c r="FH318" s="95"/>
      <c r="FI318" s="95"/>
      <c r="FJ318" s="95"/>
      <c r="FK318" s="95"/>
      <c r="FL318" s="95"/>
      <c r="FM318" s="95"/>
      <c r="FN318" s="95"/>
      <c r="FO318" s="95"/>
      <c r="FP318" s="95"/>
      <c r="FQ318" s="95"/>
      <c r="FR318" s="95"/>
      <c r="FS318" s="95"/>
      <c r="FT318" s="95"/>
      <c r="FU318" s="95"/>
      <c r="FV318" s="95"/>
      <c r="FW318" s="95"/>
      <c r="FX318" s="95"/>
      <c r="FY318" s="95"/>
      <c r="FZ318" s="95"/>
      <c r="GA318" s="95"/>
      <c r="GB318" s="95"/>
      <c r="GC318" s="95"/>
      <c r="GD318" s="95"/>
      <c r="GE318" s="95"/>
      <c r="GF318" s="95"/>
      <c r="GG318" s="95"/>
      <c r="GH318" s="95"/>
      <c r="GI318" s="95"/>
      <c r="GJ318" s="95"/>
      <c r="GK318" s="95"/>
      <c r="GL318" s="95"/>
      <c r="GM318" s="95"/>
      <c r="GN318" s="95"/>
      <c r="GO318" s="95"/>
      <c r="GP318" s="95"/>
      <c r="GQ318" s="95"/>
      <c r="GR318" s="95"/>
      <c r="GS318" s="95"/>
      <c r="GT318" s="95"/>
      <c r="GU318" s="95"/>
      <c r="GV318" s="95"/>
      <c r="GW318" s="95"/>
      <c r="GX318" s="95"/>
      <c r="GY318" s="95"/>
    </row>
    <row r="319" spans="1:207" s="31" customFormat="1" ht="28.5" x14ac:dyDescent="0.45">
      <c r="A319" s="31" t="s">
        <v>59</v>
      </c>
      <c r="B319" s="31" t="s">
        <v>73</v>
      </c>
      <c r="C319" s="32" t="s">
        <v>62</v>
      </c>
      <c r="D319" s="31" t="s">
        <v>32</v>
      </c>
      <c r="E319" s="44">
        <v>0.13685250382202155</v>
      </c>
      <c r="F319" s="44">
        <v>0.13525894285232071</v>
      </c>
      <c r="G319" s="44">
        <v>0.1384809148717096</v>
      </c>
      <c r="H319" s="32" t="s">
        <v>61</v>
      </c>
      <c r="I319" s="31" t="s">
        <v>34</v>
      </c>
      <c r="J319" s="32" t="s">
        <v>41</v>
      </c>
      <c r="K319" s="31" t="s">
        <v>34</v>
      </c>
      <c r="L319" s="32" t="s">
        <v>60</v>
      </c>
      <c r="M319" s="31" t="s">
        <v>32</v>
      </c>
      <c r="N319" s="32"/>
      <c r="O319" s="110"/>
      <c r="P319" s="108"/>
      <c r="Q319" s="34"/>
      <c r="R319" s="98" t="s">
        <v>203</v>
      </c>
      <c r="X319" s="95"/>
      <c r="Y319" s="95"/>
      <c r="Z319" s="95"/>
      <c r="AA319" s="95"/>
      <c r="AB319" s="95"/>
      <c r="AC319" s="95"/>
      <c r="AD319" s="95"/>
      <c r="AE319" s="95"/>
      <c r="AF319" s="95"/>
      <c r="AG319" s="95"/>
      <c r="AH319" s="95"/>
      <c r="AI319" s="95"/>
      <c r="AJ319" s="95"/>
      <c r="AK319" s="95"/>
      <c r="AL319" s="95"/>
      <c r="AM319" s="95"/>
      <c r="AN319" s="95"/>
      <c r="AO319" s="95"/>
      <c r="AP319" s="95"/>
      <c r="AQ319" s="95"/>
      <c r="AR319" s="95"/>
      <c r="AS319" s="95"/>
      <c r="AT319" s="95"/>
      <c r="AU319" s="95"/>
      <c r="AV319" s="95"/>
      <c r="AW319" s="95"/>
      <c r="AX319" s="95"/>
      <c r="AY319" s="95"/>
      <c r="AZ319" s="95"/>
      <c r="BA319" s="95"/>
      <c r="BB319" s="95"/>
      <c r="BC319" s="95"/>
      <c r="BD319" s="95"/>
      <c r="BE319" s="95"/>
      <c r="BF319" s="95"/>
      <c r="BG319" s="95"/>
      <c r="BH319" s="95"/>
      <c r="BI319" s="95"/>
      <c r="BJ319" s="95"/>
      <c r="BK319" s="95"/>
      <c r="BL319" s="95"/>
      <c r="BM319" s="95"/>
      <c r="BN319" s="95"/>
      <c r="BO319" s="95"/>
      <c r="BP319" s="95"/>
      <c r="BQ319" s="95"/>
      <c r="BR319" s="95"/>
      <c r="BS319" s="95"/>
      <c r="BT319" s="95"/>
      <c r="BU319" s="95"/>
      <c r="BV319" s="95"/>
      <c r="BW319" s="95"/>
      <c r="BX319" s="95"/>
      <c r="BY319" s="95"/>
      <c r="BZ319" s="95"/>
      <c r="CA319" s="95"/>
      <c r="CB319" s="95"/>
      <c r="CC319" s="95"/>
      <c r="CD319" s="95"/>
      <c r="CE319" s="95"/>
      <c r="CF319" s="95"/>
      <c r="CG319" s="95"/>
      <c r="CH319" s="95"/>
      <c r="CI319" s="95"/>
      <c r="CJ319" s="95"/>
      <c r="CK319" s="95"/>
      <c r="CL319" s="95"/>
      <c r="CM319" s="95"/>
      <c r="CN319" s="95"/>
      <c r="CO319" s="95"/>
      <c r="CP319" s="95"/>
      <c r="CQ319" s="95"/>
      <c r="CR319" s="95"/>
      <c r="CS319" s="95"/>
      <c r="CT319" s="95"/>
      <c r="CU319" s="95"/>
      <c r="CV319" s="95"/>
      <c r="CW319" s="95"/>
      <c r="CX319" s="95"/>
      <c r="CY319" s="95"/>
      <c r="CZ319" s="95"/>
      <c r="DA319" s="95"/>
      <c r="DB319" s="95"/>
      <c r="DC319" s="95"/>
      <c r="DD319" s="95"/>
      <c r="DE319" s="95"/>
      <c r="DF319" s="95"/>
      <c r="DG319" s="95"/>
      <c r="DH319" s="95"/>
      <c r="DI319" s="95"/>
      <c r="DJ319" s="95"/>
      <c r="DK319" s="95"/>
      <c r="DL319" s="95"/>
      <c r="DM319" s="95"/>
      <c r="DN319" s="95"/>
      <c r="DO319" s="95"/>
      <c r="DP319" s="95"/>
      <c r="DQ319" s="95"/>
      <c r="DR319" s="95"/>
      <c r="DS319" s="95"/>
      <c r="DT319" s="95"/>
      <c r="DU319" s="95"/>
      <c r="DV319" s="95"/>
      <c r="DW319" s="95"/>
      <c r="DX319" s="95"/>
      <c r="DY319" s="95"/>
      <c r="DZ319" s="95"/>
      <c r="EA319" s="95"/>
      <c r="EB319" s="95"/>
      <c r="EC319" s="95"/>
      <c r="ED319" s="95"/>
      <c r="EE319" s="95"/>
      <c r="EF319" s="95"/>
      <c r="EG319" s="95"/>
      <c r="EH319" s="95"/>
      <c r="EI319" s="95"/>
      <c r="EJ319" s="95"/>
      <c r="EK319" s="95"/>
      <c r="EL319" s="95"/>
      <c r="EM319" s="95"/>
      <c r="EN319" s="95"/>
      <c r="EO319" s="95"/>
      <c r="EP319" s="95"/>
      <c r="EQ319" s="95"/>
      <c r="ER319" s="95"/>
      <c r="ES319" s="95"/>
      <c r="ET319" s="95"/>
      <c r="EU319" s="95"/>
      <c r="EV319" s="95"/>
      <c r="EW319" s="95"/>
      <c r="EX319" s="95"/>
      <c r="EY319" s="95"/>
      <c r="EZ319" s="95"/>
      <c r="FA319" s="95"/>
      <c r="FB319" s="95"/>
      <c r="FC319" s="95"/>
      <c r="FD319" s="95"/>
      <c r="FE319" s="95"/>
      <c r="FF319" s="95"/>
      <c r="FG319" s="95"/>
      <c r="FH319" s="95"/>
      <c r="FI319" s="95"/>
      <c r="FJ319" s="95"/>
      <c r="FK319" s="95"/>
      <c r="FL319" s="95"/>
      <c r="FM319" s="95"/>
      <c r="FN319" s="95"/>
      <c r="FO319" s="95"/>
      <c r="FP319" s="95"/>
      <c r="FQ319" s="95"/>
      <c r="FR319" s="95"/>
      <c r="FS319" s="95"/>
      <c r="FT319" s="95"/>
      <c r="FU319" s="95"/>
      <c r="FV319" s="95"/>
      <c r="FW319" s="95"/>
      <c r="FX319" s="95"/>
      <c r="FY319" s="95"/>
      <c r="FZ319" s="95"/>
      <c r="GA319" s="95"/>
      <c r="GB319" s="95"/>
      <c r="GC319" s="95"/>
      <c r="GD319" s="95"/>
      <c r="GE319" s="95"/>
      <c r="GF319" s="95"/>
      <c r="GG319" s="95"/>
      <c r="GH319" s="95"/>
      <c r="GI319" s="95"/>
      <c r="GJ319" s="95"/>
      <c r="GK319" s="95"/>
      <c r="GL319" s="95"/>
      <c r="GM319" s="95"/>
      <c r="GN319" s="95"/>
      <c r="GO319" s="95"/>
      <c r="GP319" s="95"/>
      <c r="GQ319" s="95"/>
      <c r="GR319" s="95"/>
      <c r="GS319" s="95"/>
      <c r="GT319" s="95"/>
      <c r="GU319" s="95"/>
      <c r="GV319" s="95"/>
      <c r="GW319" s="95"/>
      <c r="GX319" s="95"/>
      <c r="GY319" s="95"/>
    </row>
    <row r="320" spans="1:207" x14ac:dyDescent="0.45">
      <c r="A320" t="s">
        <v>59</v>
      </c>
      <c r="B320" t="s">
        <v>73</v>
      </c>
      <c r="C320" s="2" t="s">
        <v>62</v>
      </c>
      <c r="D320" t="s">
        <v>32</v>
      </c>
      <c r="E320" s="18">
        <v>0</v>
      </c>
      <c r="F320" s="18">
        <v>0</v>
      </c>
      <c r="G320" s="18">
        <v>0</v>
      </c>
      <c r="H320" s="2" t="s">
        <v>61</v>
      </c>
      <c r="I320" t="s">
        <v>32</v>
      </c>
      <c r="J320" s="2" t="s">
        <v>41</v>
      </c>
      <c r="K320" t="s">
        <v>32</v>
      </c>
      <c r="L320" s="2" t="s">
        <v>60</v>
      </c>
      <c r="M320" t="s">
        <v>34</v>
      </c>
      <c r="N320" s="2"/>
      <c r="O320" s="109"/>
      <c r="P320" s="107"/>
      <c r="Q320" s="4"/>
      <c r="R320" s="97" t="s">
        <v>196</v>
      </c>
    </row>
    <row r="321" spans="1:207" x14ac:dyDescent="0.45">
      <c r="A321" t="s">
        <v>59</v>
      </c>
      <c r="B321" t="s">
        <v>73</v>
      </c>
      <c r="C321" s="2" t="s">
        <v>62</v>
      </c>
      <c r="D321" t="s">
        <v>32</v>
      </c>
      <c r="E321" s="18">
        <v>0</v>
      </c>
      <c r="F321" s="18">
        <v>0</v>
      </c>
      <c r="G321" s="18">
        <v>0</v>
      </c>
      <c r="H321" s="2" t="s">
        <v>61</v>
      </c>
      <c r="I321" t="s">
        <v>34</v>
      </c>
      <c r="J321" s="2" t="s">
        <v>41</v>
      </c>
      <c r="K321" t="s">
        <v>32</v>
      </c>
      <c r="L321" s="2" t="s">
        <v>60</v>
      </c>
      <c r="M321" t="s">
        <v>34</v>
      </c>
      <c r="N321" s="2"/>
      <c r="O321" s="109"/>
      <c r="P321" s="107"/>
      <c r="Q321" s="4"/>
      <c r="R321" s="97" t="s">
        <v>196</v>
      </c>
    </row>
    <row r="322" spans="1:207" x14ac:dyDescent="0.45">
      <c r="A322" t="s">
        <v>59</v>
      </c>
      <c r="B322" t="s">
        <v>73</v>
      </c>
      <c r="C322" s="2" t="s">
        <v>62</v>
      </c>
      <c r="D322" t="s">
        <v>32</v>
      </c>
      <c r="E322" s="18">
        <v>0</v>
      </c>
      <c r="F322" s="18">
        <v>0</v>
      </c>
      <c r="G322" s="18">
        <v>0</v>
      </c>
      <c r="H322" s="2" t="s">
        <v>61</v>
      </c>
      <c r="I322" t="s">
        <v>32</v>
      </c>
      <c r="J322" s="2" t="s">
        <v>41</v>
      </c>
      <c r="K322" t="s">
        <v>34</v>
      </c>
      <c r="L322" s="2" t="s">
        <v>60</v>
      </c>
      <c r="M322" t="s">
        <v>34</v>
      </c>
      <c r="N322" s="2"/>
      <c r="O322" s="109"/>
      <c r="P322" s="107"/>
      <c r="Q322" s="4"/>
      <c r="R322" s="97" t="s">
        <v>196</v>
      </c>
    </row>
    <row r="323" spans="1:207" x14ac:dyDescent="0.45">
      <c r="A323" t="s">
        <v>59</v>
      </c>
      <c r="B323" t="s">
        <v>73</v>
      </c>
      <c r="C323" s="2" t="s">
        <v>62</v>
      </c>
      <c r="D323" t="s">
        <v>32</v>
      </c>
      <c r="E323" s="18">
        <v>0</v>
      </c>
      <c r="F323" s="18">
        <v>0</v>
      </c>
      <c r="G323" s="18">
        <v>0</v>
      </c>
      <c r="H323" s="2" t="s">
        <v>61</v>
      </c>
      <c r="I323" t="s">
        <v>34</v>
      </c>
      <c r="J323" s="2" t="s">
        <v>41</v>
      </c>
      <c r="K323" t="s">
        <v>34</v>
      </c>
      <c r="L323" s="2" t="s">
        <v>60</v>
      </c>
      <c r="M323" t="s">
        <v>34</v>
      </c>
      <c r="N323" s="2"/>
      <c r="O323" s="109"/>
      <c r="P323" s="107"/>
      <c r="Q323" s="4"/>
      <c r="R323" s="97" t="s">
        <v>196</v>
      </c>
    </row>
    <row r="324" spans="1:207" s="31" customFormat="1" x14ac:dyDescent="0.45">
      <c r="A324" s="31" t="s">
        <v>63</v>
      </c>
      <c r="B324" s="31" t="s">
        <v>74</v>
      </c>
      <c r="C324" s="32" t="s">
        <v>20</v>
      </c>
      <c r="D324" s="31" t="s">
        <v>18</v>
      </c>
      <c r="E324" s="45">
        <v>0.92233156250000004</v>
      </c>
      <c r="F324" s="45">
        <v>0.89126418750000003</v>
      </c>
      <c r="G324" s="45">
        <v>0.95339893750000004</v>
      </c>
      <c r="H324" s="32"/>
      <c r="J324" s="32"/>
      <c r="L324" s="32"/>
      <c r="N324" s="32"/>
      <c r="O324" s="110"/>
      <c r="P324" s="108"/>
      <c r="Q324" s="34"/>
      <c r="R324" s="98"/>
      <c r="X324" s="95"/>
      <c r="Y324" s="95"/>
      <c r="Z324" s="95"/>
      <c r="AA324" s="95"/>
      <c r="AB324" s="95"/>
      <c r="AC324" s="95"/>
      <c r="AD324" s="95"/>
      <c r="AE324" s="95"/>
      <c r="AF324" s="95"/>
      <c r="AG324" s="95"/>
      <c r="AH324" s="95"/>
      <c r="AI324" s="95"/>
      <c r="AJ324" s="95"/>
      <c r="AK324" s="95"/>
      <c r="AL324" s="95"/>
      <c r="AM324" s="95"/>
      <c r="AN324" s="95"/>
      <c r="AO324" s="95"/>
      <c r="AP324" s="95"/>
      <c r="AQ324" s="95"/>
      <c r="AR324" s="95"/>
      <c r="AS324" s="95"/>
      <c r="AT324" s="95"/>
      <c r="AU324" s="95"/>
      <c r="AV324" s="95"/>
      <c r="AW324" s="95"/>
      <c r="AX324" s="95"/>
      <c r="AY324" s="95"/>
      <c r="AZ324" s="95"/>
      <c r="BA324" s="95"/>
      <c r="BB324" s="95"/>
      <c r="BC324" s="95"/>
      <c r="BD324" s="95"/>
      <c r="BE324" s="95"/>
      <c r="BF324" s="95"/>
      <c r="BG324" s="95"/>
      <c r="BH324" s="95"/>
      <c r="BI324" s="95"/>
      <c r="BJ324" s="95"/>
      <c r="BK324" s="95"/>
      <c r="BL324" s="95"/>
      <c r="BM324" s="95"/>
      <c r="BN324" s="95"/>
      <c r="BO324" s="95"/>
      <c r="BP324" s="95"/>
      <c r="BQ324" s="95"/>
      <c r="BR324" s="95"/>
      <c r="BS324" s="95"/>
      <c r="BT324" s="95"/>
      <c r="BU324" s="95"/>
      <c r="BV324" s="95"/>
      <c r="BW324" s="95"/>
      <c r="BX324" s="95"/>
      <c r="BY324" s="95"/>
      <c r="BZ324" s="95"/>
      <c r="CA324" s="95"/>
      <c r="CB324" s="95"/>
      <c r="CC324" s="95"/>
      <c r="CD324" s="95"/>
      <c r="CE324" s="95"/>
      <c r="CF324" s="95"/>
      <c r="CG324" s="95"/>
      <c r="CH324" s="95"/>
      <c r="CI324" s="95"/>
      <c r="CJ324" s="95"/>
      <c r="CK324" s="95"/>
      <c r="CL324" s="95"/>
      <c r="CM324" s="95"/>
      <c r="CN324" s="95"/>
      <c r="CO324" s="95"/>
      <c r="CP324" s="95"/>
      <c r="CQ324" s="95"/>
      <c r="CR324" s="95"/>
      <c r="CS324" s="95"/>
      <c r="CT324" s="95"/>
      <c r="CU324" s="95"/>
      <c r="CV324" s="95"/>
      <c r="CW324" s="95"/>
      <c r="CX324" s="95"/>
      <c r="CY324" s="95"/>
      <c r="CZ324" s="95"/>
      <c r="DA324" s="95"/>
      <c r="DB324" s="95"/>
      <c r="DC324" s="95"/>
      <c r="DD324" s="95"/>
      <c r="DE324" s="95"/>
      <c r="DF324" s="95"/>
      <c r="DG324" s="95"/>
      <c r="DH324" s="95"/>
      <c r="DI324" s="95"/>
      <c r="DJ324" s="95"/>
      <c r="DK324" s="95"/>
      <c r="DL324" s="95"/>
      <c r="DM324" s="95"/>
      <c r="DN324" s="95"/>
      <c r="DO324" s="95"/>
      <c r="DP324" s="95"/>
      <c r="DQ324" s="95"/>
      <c r="DR324" s="95"/>
      <c r="DS324" s="95"/>
      <c r="DT324" s="95"/>
      <c r="DU324" s="95"/>
      <c r="DV324" s="95"/>
      <c r="DW324" s="95"/>
      <c r="DX324" s="95"/>
      <c r="DY324" s="95"/>
      <c r="DZ324" s="95"/>
      <c r="EA324" s="95"/>
      <c r="EB324" s="95"/>
      <c r="EC324" s="95"/>
      <c r="ED324" s="95"/>
      <c r="EE324" s="95"/>
      <c r="EF324" s="95"/>
      <c r="EG324" s="95"/>
      <c r="EH324" s="95"/>
      <c r="EI324" s="95"/>
      <c r="EJ324" s="95"/>
      <c r="EK324" s="95"/>
      <c r="EL324" s="95"/>
      <c r="EM324" s="95"/>
      <c r="EN324" s="95"/>
      <c r="EO324" s="95"/>
      <c r="EP324" s="95"/>
      <c r="EQ324" s="95"/>
      <c r="ER324" s="95"/>
      <c r="ES324" s="95"/>
      <c r="ET324" s="95"/>
      <c r="EU324" s="95"/>
      <c r="EV324" s="95"/>
      <c r="EW324" s="95"/>
      <c r="EX324" s="95"/>
      <c r="EY324" s="95"/>
      <c r="EZ324" s="95"/>
      <c r="FA324" s="95"/>
      <c r="FB324" s="95"/>
      <c r="FC324" s="95"/>
      <c r="FD324" s="95"/>
      <c r="FE324" s="95"/>
      <c r="FF324" s="95"/>
      <c r="FG324" s="95"/>
      <c r="FH324" s="95"/>
      <c r="FI324" s="95"/>
      <c r="FJ324" s="95"/>
      <c r="FK324" s="95"/>
      <c r="FL324" s="95"/>
      <c r="FM324" s="95"/>
      <c r="FN324" s="95"/>
      <c r="FO324" s="95"/>
      <c r="FP324" s="95"/>
      <c r="FQ324" s="95"/>
      <c r="FR324" s="95"/>
      <c r="FS324" s="95"/>
      <c r="FT324" s="95"/>
      <c r="FU324" s="95"/>
      <c r="FV324" s="95"/>
      <c r="FW324" s="95"/>
      <c r="FX324" s="95"/>
      <c r="FY324" s="95"/>
      <c r="FZ324" s="95"/>
      <c r="GA324" s="95"/>
      <c r="GB324" s="95"/>
      <c r="GC324" s="95"/>
      <c r="GD324" s="95"/>
      <c r="GE324" s="95"/>
      <c r="GF324" s="95"/>
      <c r="GG324" s="95"/>
      <c r="GH324" s="95"/>
      <c r="GI324" s="95"/>
      <c r="GJ324" s="95"/>
      <c r="GK324" s="95"/>
      <c r="GL324" s="95"/>
      <c r="GM324" s="95"/>
      <c r="GN324" s="95"/>
      <c r="GO324" s="95"/>
      <c r="GP324" s="95"/>
      <c r="GQ324" s="95"/>
      <c r="GR324" s="95"/>
      <c r="GS324" s="95"/>
      <c r="GT324" s="95"/>
      <c r="GU324" s="95"/>
      <c r="GV324" s="95"/>
      <c r="GW324" s="95"/>
      <c r="GX324" s="95"/>
      <c r="GY324" s="95"/>
    </row>
    <row r="325" spans="1:207" s="31" customFormat="1" ht="28.5" x14ac:dyDescent="0.45">
      <c r="A325" s="31" t="s">
        <v>63</v>
      </c>
      <c r="B325" s="31" t="s">
        <v>74</v>
      </c>
      <c r="C325" s="32" t="s">
        <v>20</v>
      </c>
      <c r="D325" s="31" t="s">
        <v>21</v>
      </c>
      <c r="E325" s="46">
        <v>7.7668437500000007E-2</v>
      </c>
      <c r="F325" s="46">
        <v>4.6601062500000005E-2</v>
      </c>
      <c r="G325" s="46">
        <v>0.1087358125</v>
      </c>
      <c r="H325" s="32"/>
      <c r="J325" s="32"/>
      <c r="L325" s="32"/>
      <c r="N325" s="32"/>
      <c r="O325" s="110"/>
      <c r="P325" s="108"/>
      <c r="Q325" s="34"/>
      <c r="R325" s="89" t="s">
        <v>204</v>
      </c>
      <c r="X325" s="95"/>
      <c r="Y325" s="95"/>
      <c r="Z325" s="95"/>
      <c r="AA325" s="95"/>
      <c r="AB325" s="95"/>
      <c r="AC325" s="95"/>
      <c r="AD325" s="95"/>
      <c r="AE325" s="95"/>
      <c r="AF325" s="95"/>
      <c r="AG325" s="95"/>
      <c r="AH325" s="95"/>
      <c r="AI325" s="95"/>
      <c r="AJ325" s="95"/>
      <c r="AK325" s="95"/>
      <c r="AL325" s="95"/>
      <c r="AM325" s="95"/>
      <c r="AN325" s="95"/>
      <c r="AO325" s="95"/>
      <c r="AP325" s="95"/>
      <c r="AQ325" s="95"/>
      <c r="AR325" s="95"/>
      <c r="AS325" s="95"/>
      <c r="AT325" s="95"/>
      <c r="AU325" s="95"/>
      <c r="AV325" s="95"/>
      <c r="AW325" s="95"/>
      <c r="AX325" s="95"/>
      <c r="AY325" s="95"/>
      <c r="AZ325" s="95"/>
      <c r="BA325" s="95"/>
      <c r="BB325" s="95"/>
      <c r="BC325" s="95"/>
      <c r="BD325" s="95"/>
      <c r="BE325" s="95"/>
      <c r="BF325" s="95"/>
      <c r="BG325" s="95"/>
      <c r="BH325" s="95"/>
      <c r="BI325" s="95"/>
      <c r="BJ325" s="95"/>
      <c r="BK325" s="95"/>
      <c r="BL325" s="95"/>
      <c r="BM325" s="95"/>
      <c r="BN325" s="95"/>
      <c r="BO325" s="95"/>
      <c r="BP325" s="95"/>
      <c r="BQ325" s="95"/>
      <c r="BR325" s="95"/>
      <c r="BS325" s="95"/>
      <c r="BT325" s="95"/>
      <c r="BU325" s="95"/>
      <c r="BV325" s="95"/>
      <c r="BW325" s="95"/>
      <c r="BX325" s="95"/>
      <c r="BY325" s="95"/>
      <c r="BZ325" s="95"/>
      <c r="CA325" s="95"/>
      <c r="CB325" s="95"/>
      <c r="CC325" s="95"/>
      <c r="CD325" s="95"/>
      <c r="CE325" s="95"/>
      <c r="CF325" s="95"/>
      <c r="CG325" s="95"/>
      <c r="CH325" s="95"/>
      <c r="CI325" s="95"/>
      <c r="CJ325" s="95"/>
      <c r="CK325" s="95"/>
      <c r="CL325" s="95"/>
      <c r="CM325" s="95"/>
      <c r="CN325" s="95"/>
      <c r="CO325" s="95"/>
      <c r="CP325" s="95"/>
      <c r="CQ325" s="95"/>
      <c r="CR325" s="95"/>
      <c r="CS325" s="95"/>
      <c r="CT325" s="95"/>
      <c r="CU325" s="95"/>
      <c r="CV325" s="95"/>
      <c r="CW325" s="95"/>
      <c r="CX325" s="95"/>
      <c r="CY325" s="95"/>
      <c r="CZ325" s="95"/>
      <c r="DA325" s="95"/>
      <c r="DB325" s="95"/>
      <c r="DC325" s="95"/>
      <c r="DD325" s="95"/>
      <c r="DE325" s="95"/>
      <c r="DF325" s="95"/>
      <c r="DG325" s="95"/>
      <c r="DH325" s="95"/>
      <c r="DI325" s="95"/>
      <c r="DJ325" s="95"/>
      <c r="DK325" s="95"/>
      <c r="DL325" s="95"/>
      <c r="DM325" s="95"/>
      <c r="DN325" s="95"/>
      <c r="DO325" s="95"/>
      <c r="DP325" s="95"/>
      <c r="DQ325" s="95"/>
      <c r="DR325" s="95"/>
      <c r="DS325" s="95"/>
      <c r="DT325" s="95"/>
      <c r="DU325" s="95"/>
      <c r="DV325" s="95"/>
      <c r="DW325" s="95"/>
      <c r="DX325" s="95"/>
      <c r="DY325" s="95"/>
      <c r="DZ325" s="95"/>
      <c r="EA325" s="95"/>
      <c r="EB325" s="95"/>
      <c r="EC325" s="95"/>
      <c r="ED325" s="95"/>
      <c r="EE325" s="95"/>
      <c r="EF325" s="95"/>
      <c r="EG325" s="95"/>
      <c r="EH325" s="95"/>
      <c r="EI325" s="95"/>
      <c r="EJ325" s="95"/>
      <c r="EK325" s="95"/>
      <c r="EL325" s="95"/>
      <c r="EM325" s="95"/>
      <c r="EN325" s="95"/>
      <c r="EO325" s="95"/>
      <c r="EP325" s="95"/>
      <c r="EQ325" s="95"/>
      <c r="ER325" s="95"/>
      <c r="ES325" s="95"/>
      <c r="ET325" s="95"/>
      <c r="EU325" s="95"/>
      <c r="EV325" s="95"/>
      <c r="EW325" s="95"/>
      <c r="EX325" s="95"/>
      <c r="EY325" s="95"/>
      <c r="EZ325" s="95"/>
      <c r="FA325" s="95"/>
      <c r="FB325" s="95"/>
      <c r="FC325" s="95"/>
      <c r="FD325" s="95"/>
      <c r="FE325" s="95"/>
      <c r="FF325" s="95"/>
      <c r="FG325" s="95"/>
      <c r="FH325" s="95"/>
      <c r="FI325" s="95"/>
      <c r="FJ325" s="95"/>
      <c r="FK325" s="95"/>
      <c r="FL325" s="95"/>
      <c r="FM325" s="95"/>
      <c r="FN325" s="95"/>
      <c r="FO325" s="95"/>
      <c r="FP325" s="95"/>
      <c r="FQ325" s="95"/>
      <c r="FR325" s="95"/>
      <c r="FS325" s="95"/>
      <c r="FT325" s="95"/>
      <c r="FU325" s="95"/>
      <c r="FV325" s="95"/>
      <c r="FW325" s="95"/>
      <c r="FX325" s="95"/>
      <c r="FY325" s="95"/>
      <c r="FZ325" s="95"/>
      <c r="GA325" s="95"/>
      <c r="GB325" s="95"/>
      <c r="GC325" s="95"/>
      <c r="GD325" s="95"/>
      <c r="GE325" s="95"/>
      <c r="GF325" s="95"/>
      <c r="GG325" s="95"/>
      <c r="GH325" s="95"/>
      <c r="GI325" s="95"/>
      <c r="GJ325" s="95"/>
      <c r="GK325" s="95"/>
      <c r="GL325" s="95"/>
      <c r="GM325" s="95"/>
      <c r="GN325" s="95"/>
      <c r="GO325" s="95"/>
      <c r="GP325" s="95"/>
      <c r="GQ325" s="95"/>
      <c r="GR325" s="95"/>
      <c r="GS325" s="95"/>
      <c r="GT325" s="95"/>
      <c r="GU325" s="95"/>
      <c r="GV325" s="95"/>
      <c r="GW325" s="95"/>
      <c r="GX325" s="95"/>
      <c r="GY325" s="95"/>
    </row>
    <row r="326" spans="1:207" x14ac:dyDescent="0.45">
      <c r="A326" t="s">
        <v>63</v>
      </c>
      <c r="B326" t="s">
        <v>74</v>
      </c>
      <c r="C326" s="2" t="s">
        <v>24</v>
      </c>
      <c r="D326" t="s">
        <v>18</v>
      </c>
      <c r="E326" s="18">
        <v>1</v>
      </c>
      <c r="F326" s="18">
        <v>1</v>
      </c>
      <c r="G326" s="18">
        <v>1</v>
      </c>
      <c r="H326" s="2"/>
      <c r="J326" s="2"/>
      <c r="L326" s="2"/>
      <c r="N326" s="2"/>
      <c r="O326" s="109"/>
      <c r="P326" s="107"/>
      <c r="Q326" s="4"/>
      <c r="R326" s="97"/>
    </row>
    <row r="327" spans="1:207" x14ac:dyDescent="0.45">
      <c r="A327" t="s">
        <v>63</v>
      </c>
      <c r="B327" t="s">
        <v>74</v>
      </c>
      <c r="C327" s="2" t="s">
        <v>24</v>
      </c>
      <c r="D327" t="s">
        <v>25</v>
      </c>
      <c r="E327" s="18">
        <v>0</v>
      </c>
      <c r="F327" s="18">
        <v>0</v>
      </c>
      <c r="G327" s="18">
        <v>0</v>
      </c>
      <c r="H327" s="2"/>
      <c r="J327" s="2"/>
      <c r="L327" s="2"/>
      <c r="N327" s="2"/>
      <c r="O327" s="109"/>
      <c r="P327" s="107"/>
      <c r="Q327" s="4"/>
      <c r="R327" s="97"/>
    </row>
    <row r="328" spans="1:207" x14ac:dyDescent="0.45">
      <c r="A328" t="s">
        <v>63</v>
      </c>
      <c r="B328" t="s">
        <v>74</v>
      </c>
      <c r="C328" s="2" t="s">
        <v>29</v>
      </c>
      <c r="D328" t="s">
        <v>18</v>
      </c>
      <c r="E328" s="18">
        <v>1</v>
      </c>
      <c r="F328" s="18">
        <v>1</v>
      </c>
      <c r="G328" s="18">
        <v>1</v>
      </c>
      <c r="H328" s="2"/>
      <c r="J328" s="2"/>
      <c r="L328" s="2"/>
      <c r="N328" s="2"/>
      <c r="O328" s="109"/>
      <c r="P328" s="107"/>
      <c r="Q328" s="4"/>
      <c r="R328" s="97"/>
    </row>
    <row r="329" spans="1:207" x14ac:dyDescent="0.45">
      <c r="A329" t="s">
        <v>63</v>
      </c>
      <c r="B329" t="s">
        <v>74</v>
      </c>
      <c r="C329" s="2" t="s">
        <v>29</v>
      </c>
      <c r="D329" t="s">
        <v>30</v>
      </c>
      <c r="E329" s="18">
        <v>0</v>
      </c>
      <c r="F329" s="18">
        <v>0</v>
      </c>
      <c r="G329" s="18">
        <v>0</v>
      </c>
      <c r="H329" s="2"/>
      <c r="J329" s="2"/>
      <c r="L329" s="2"/>
      <c r="N329" s="2"/>
      <c r="O329" s="109"/>
      <c r="P329" s="107"/>
      <c r="Q329" s="4"/>
      <c r="R329" s="97" t="s">
        <v>86</v>
      </c>
    </row>
    <row r="330" spans="1:207" x14ac:dyDescent="0.45">
      <c r="A330" t="s">
        <v>63</v>
      </c>
      <c r="B330" t="s">
        <v>74</v>
      </c>
      <c r="C330" s="2" t="s">
        <v>31</v>
      </c>
      <c r="D330" t="s">
        <v>32</v>
      </c>
      <c r="E330" s="18">
        <v>0</v>
      </c>
      <c r="F330" s="18">
        <v>0</v>
      </c>
      <c r="G330" s="18">
        <v>0</v>
      </c>
      <c r="H330" s="2" t="s">
        <v>20</v>
      </c>
      <c r="I330" t="s">
        <v>18</v>
      </c>
      <c r="J330" s="2"/>
      <c r="L330" s="2"/>
      <c r="N330" s="2"/>
      <c r="O330" s="109"/>
      <c r="P330" s="107"/>
      <c r="Q330" s="4"/>
      <c r="R330" s="97" t="s">
        <v>149</v>
      </c>
    </row>
    <row r="331" spans="1:207" s="31" customFormat="1" ht="28.5" x14ac:dyDescent="0.45">
      <c r="A331" s="31" t="s">
        <v>63</v>
      </c>
      <c r="B331" s="31" t="s">
        <v>74</v>
      </c>
      <c r="C331" s="32" t="s">
        <v>31</v>
      </c>
      <c r="D331" s="31" t="s">
        <v>32</v>
      </c>
      <c r="E331" s="33">
        <v>0.504</v>
      </c>
      <c r="F331" s="33">
        <v>0.30399999999999999</v>
      </c>
      <c r="G331" s="33">
        <v>0.70399999999999996</v>
      </c>
      <c r="H331" s="32" t="s">
        <v>20</v>
      </c>
      <c r="I331" s="31" t="s">
        <v>21</v>
      </c>
      <c r="J331" s="32"/>
      <c r="L331" s="32"/>
      <c r="N331" s="32"/>
      <c r="O331" s="110"/>
      <c r="P331" s="108"/>
      <c r="Q331" s="34"/>
      <c r="R331" s="98" t="s">
        <v>205</v>
      </c>
      <c r="X331" s="95"/>
      <c r="Y331" s="95"/>
      <c r="Z331" s="95"/>
      <c r="AA331" s="95"/>
      <c r="AB331" s="95"/>
      <c r="AC331" s="95"/>
      <c r="AD331" s="95"/>
      <c r="AE331" s="95"/>
      <c r="AF331" s="95"/>
      <c r="AG331" s="95"/>
      <c r="AH331" s="95"/>
      <c r="AI331" s="95"/>
      <c r="AJ331" s="95"/>
      <c r="AK331" s="95"/>
      <c r="AL331" s="95"/>
      <c r="AM331" s="95"/>
      <c r="AN331" s="95"/>
      <c r="AO331" s="95"/>
      <c r="AP331" s="95"/>
      <c r="AQ331" s="95"/>
      <c r="AR331" s="95"/>
      <c r="AS331" s="95"/>
      <c r="AT331" s="95"/>
      <c r="AU331" s="95"/>
      <c r="AV331" s="95"/>
      <c r="AW331" s="95"/>
      <c r="AX331" s="95"/>
      <c r="AY331" s="95"/>
      <c r="AZ331" s="95"/>
      <c r="BA331" s="95"/>
      <c r="BB331" s="95"/>
      <c r="BC331" s="95"/>
      <c r="BD331" s="95"/>
      <c r="BE331" s="95"/>
      <c r="BF331" s="95"/>
      <c r="BG331" s="95"/>
      <c r="BH331" s="95"/>
      <c r="BI331" s="95"/>
      <c r="BJ331" s="95"/>
      <c r="BK331" s="95"/>
      <c r="BL331" s="95"/>
      <c r="BM331" s="95"/>
      <c r="BN331" s="95"/>
      <c r="BO331" s="95"/>
      <c r="BP331" s="95"/>
      <c r="BQ331" s="95"/>
      <c r="BR331" s="95"/>
      <c r="BS331" s="95"/>
      <c r="BT331" s="95"/>
      <c r="BU331" s="95"/>
      <c r="BV331" s="95"/>
      <c r="BW331" s="95"/>
      <c r="BX331" s="95"/>
      <c r="BY331" s="95"/>
      <c r="BZ331" s="95"/>
      <c r="CA331" s="95"/>
      <c r="CB331" s="95"/>
      <c r="CC331" s="95"/>
      <c r="CD331" s="95"/>
      <c r="CE331" s="95"/>
      <c r="CF331" s="95"/>
      <c r="CG331" s="95"/>
      <c r="CH331" s="95"/>
      <c r="CI331" s="95"/>
      <c r="CJ331" s="95"/>
      <c r="CK331" s="95"/>
      <c r="CL331" s="95"/>
      <c r="CM331" s="95"/>
      <c r="CN331" s="95"/>
      <c r="CO331" s="95"/>
      <c r="CP331" s="95"/>
      <c r="CQ331" s="95"/>
      <c r="CR331" s="95"/>
      <c r="CS331" s="95"/>
      <c r="CT331" s="95"/>
      <c r="CU331" s="95"/>
      <c r="CV331" s="95"/>
      <c r="CW331" s="95"/>
      <c r="CX331" s="95"/>
      <c r="CY331" s="95"/>
      <c r="CZ331" s="95"/>
      <c r="DA331" s="95"/>
      <c r="DB331" s="95"/>
      <c r="DC331" s="95"/>
      <c r="DD331" s="95"/>
      <c r="DE331" s="95"/>
      <c r="DF331" s="95"/>
      <c r="DG331" s="95"/>
      <c r="DH331" s="95"/>
      <c r="DI331" s="95"/>
      <c r="DJ331" s="95"/>
      <c r="DK331" s="95"/>
      <c r="DL331" s="95"/>
      <c r="DM331" s="95"/>
      <c r="DN331" s="95"/>
      <c r="DO331" s="95"/>
      <c r="DP331" s="95"/>
      <c r="DQ331" s="95"/>
      <c r="DR331" s="95"/>
      <c r="DS331" s="95"/>
      <c r="DT331" s="95"/>
      <c r="DU331" s="95"/>
      <c r="DV331" s="95"/>
      <c r="DW331" s="95"/>
      <c r="DX331" s="95"/>
      <c r="DY331" s="95"/>
      <c r="DZ331" s="95"/>
      <c r="EA331" s="95"/>
      <c r="EB331" s="95"/>
      <c r="EC331" s="95"/>
      <c r="ED331" s="95"/>
      <c r="EE331" s="95"/>
      <c r="EF331" s="95"/>
      <c r="EG331" s="95"/>
      <c r="EH331" s="95"/>
      <c r="EI331" s="95"/>
      <c r="EJ331" s="95"/>
      <c r="EK331" s="95"/>
      <c r="EL331" s="95"/>
      <c r="EM331" s="95"/>
      <c r="EN331" s="95"/>
      <c r="EO331" s="95"/>
      <c r="EP331" s="95"/>
      <c r="EQ331" s="95"/>
      <c r="ER331" s="95"/>
      <c r="ES331" s="95"/>
      <c r="ET331" s="95"/>
      <c r="EU331" s="95"/>
      <c r="EV331" s="95"/>
      <c r="EW331" s="95"/>
      <c r="EX331" s="95"/>
      <c r="EY331" s="95"/>
      <c r="EZ331" s="95"/>
      <c r="FA331" s="95"/>
      <c r="FB331" s="95"/>
      <c r="FC331" s="95"/>
      <c r="FD331" s="95"/>
      <c r="FE331" s="95"/>
      <c r="FF331" s="95"/>
      <c r="FG331" s="95"/>
      <c r="FH331" s="95"/>
      <c r="FI331" s="95"/>
      <c r="FJ331" s="95"/>
      <c r="FK331" s="95"/>
      <c r="FL331" s="95"/>
      <c r="FM331" s="95"/>
      <c r="FN331" s="95"/>
      <c r="FO331" s="95"/>
      <c r="FP331" s="95"/>
      <c r="FQ331" s="95"/>
      <c r="FR331" s="95"/>
      <c r="FS331" s="95"/>
      <c r="FT331" s="95"/>
      <c r="FU331" s="95"/>
      <c r="FV331" s="95"/>
      <c r="FW331" s="95"/>
      <c r="FX331" s="95"/>
      <c r="FY331" s="95"/>
      <c r="FZ331" s="95"/>
      <c r="GA331" s="95"/>
      <c r="GB331" s="95"/>
      <c r="GC331" s="95"/>
      <c r="GD331" s="95"/>
      <c r="GE331" s="95"/>
      <c r="GF331" s="95"/>
      <c r="GG331" s="95"/>
      <c r="GH331" s="95"/>
      <c r="GI331" s="95"/>
      <c r="GJ331" s="95"/>
      <c r="GK331" s="95"/>
      <c r="GL331" s="95"/>
      <c r="GM331" s="95"/>
      <c r="GN331" s="95"/>
      <c r="GO331" s="95"/>
      <c r="GP331" s="95"/>
      <c r="GQ331" s="95"/>
      <c r="GR331" s="95"/>
      <c r="GS331" s="95"/>
      <c r="GT331" s="95"/>
      <c r="GU331" s="95"/>
      <c r="GV331" s="95"/>
      <c r="GW331" s="95"/>
      <c r="GX331" s="95"/>
      <c r="GY331" s="95"/>
    </row>
    <row r="332" spans="1:207" x14ac:dyDescent="0.45">
      <c r="A332" t="s">
        <v>63</v>
      </c>
      <c r="B332" t="s">
        <v>74</v>
      </c>
      <c r="C332" s="2" t="s">
        <v>33</v>
      </c>
      <c r="D332" t="s">
        <v>32</v>
      </c>
      <c r="E332" s="18">
        <v>0.52</v>
      </c>
      <c r="F332" s="18">
        <v>0.42000000000000004</v>
      </c>
      <c r="G332" s="18">
        <v>0.62</v>
      </c>
      <c r="H332" s="2" t="s">
        <v>31</v>
      </c>
      <c r="I332" t="s">
        <v>32</v>
      </c>
      <c r="J332" s="2"/>
      <c r="L332" s="2"/>
      <c r="N332" s="2"/>
      <c r="O332" s="109"/>
      <c r="P332" s="107"/>
      <c r="Q332" s="4"/>
      <c r="R332" s="97" t="s">
        <v>125</v>
      </c>
    </row>
    <row r="333" spans="1:207" x14ac:dyDescent="0.45">
      <c r="A333" t="s">
        <v>63</v>
      </c>
      <c r="B333" t="s">
        <v>74</v>
      </c>
      <c r="C333" s="2" t="s">
        <v>33</v>
      </c>
      <c r="D333" t="s">
        <v>32</v>
      </c>
      <c r="E333" s="18">
        <v>0</v>
      </c>
      <c r="F333" s="18">
        <v>0</v>
      </c>
      <c r="G333" s="18">
        <v>0</v>
      </c>
      <c r="H333" s="2" t="s">
        <v>31</v>
      </c>
      <c r="I333" t="s">
        <v>34</v>
      </c>
      <c r="J333" s="2"/>
      <c r="L333" s="2"/>
      <c r="N333" s="2"/>
      <c r="O333" s="109"/>
      <c r="P333" s="107"/>
      <c r="Q333" s="4"/>
      <c r="R333" s="97" t="s">
        <v>99</v>
      </c>
    </row>
    <row r="334" spans="1:207" s="31" customFormat="1" ht="28.5" x14ac:dyDescent="0.45">
      <c r="A334" s="31" t="s">
        <v>63</v>
      </c>
      <c r="B334" s="31" t="s">
        <v>74</v>
      </c>
      <c r="C334" s="32" t="s">
        <v>64</v>
      </c>
      <c r="D334" s="31" t="s">
        <v>32</v>
      </c>
      <c r="E334" s="50">
        <v>6.3126105277713798E-2</v>
      </c>
      <c r="F334" s="50">
        <v>4.2014253576477568E-2</v>
      </c>
      <c r="G334" s="50">
        <v>8.4594966374738109E-2</v>
      </c>
      <c r="H334" s="32" t="s">
        <v>33</v>
      </c>
      <c r="I334" s="31" t="s">
        <v>32</v>
      </c>
      <c r="J334" s="32"/>
      <c r="L334" s="32"/>
      <c r="N334" s="32"/>
      <c r="O334" s="110"/>
      <c r="P334" s="108"/>
      <c r="Q334" s="34"/>
      <c r="R334" s="98" t="s">
        <v>211</v>
      </c>
      <c r="X334" s="95"/>
      <c r="Y334" s="95"/>
      <c r="Z334" s="95"/>
      <c r="AA334" s="95"/>
      <c r="AB334" s="95"/>
      <c r="AC334" s="95"/>
      <c r="AD334" s="95"/>
      <c r="AE334" s="95"/>
      <c r="AF334" s="95"/>
      <c r="AG334" s="95"/>
      <c r="AH334" s="95"/>
      <c r="AI334" s="95"/>
      <c r="AJ334" s="95"/>
      <c r="AK334" s="95"/>
      <c r="AL334" s="95"/>
      <c r="AM334" s="95"/>
      <c r="AN334" s="95"/>
      <c r="AO334" s="95"/>
      <c r="AP334" s="95"/>
      <c r="AQ334" s="95"/>
      <c r="AR334" s="95"/>
      <c r="AS334" s="95"/>
      <c r="AT334" s="95"/>
      <c r="AU334" s="95"/>
      <c r="AV334" s="95"/>
      <c r="AW334" s="95"/>
      <c r="AX334" s="95"/>
      <c r="AY334" s="95"/>
      <c r="AZ334" s="95"/>
      <c r="BA334" s="95"/>
      <c r="BB334" s="95"/>
      <c r="BC334" s="95"/>
      <c r="BD334" s="95"/>
      <c r="BE334" s="95"/>
      <c r="BF334" s="95"/>
      <c r="BG334" s="95"/>
      <c r="BH334" s="95"/>
      <c r="BI334" s="95"/>
      <c r="BJ334" s="95"/>
      <c r="BK334" s="95"/>
      <c r="BL334" s="95"/>
      <c r="BM334" s="95"/>
      <c r="BN334" s="95"/>
      <c r="BO334" s="95"/>
      <c r="BP334" s="95"/>
      <c r="BQ334" s="95"/>
      <c r="BR334" s="95"/>
      <c r="BS334" s="95"/>
      <c r="BT334" s="95"/>
      <c r="BU334" s="95"/>
      <c r="BV334" s="95"/>
      <c r="BW334" s="95"/>
      <c r="BX334" s="95"/>
      <c r="BY334" s="95"/>
      <c r="BZ334" s="95"/>
      <c r="CA334" s="95"/>
      <c r="CB334" s="95"/>
      <c r="CC334" s="95"/>
      <c r="CD334" s="95"/>
      <c r="CE334" s="95"/>
      <c r="CF334" s="95"/>
      <c r="CG334" s="95"/>
      <c r="CH334" s="95"/>
      <c r="CI334" s="95"/>
      <c r="CJ334" s="95"/>
      <c r="CK334" s="95"/>
      <c r="CL334" s="95"/>
      <c r="CM334" s="95"/>
      <c r="CN334" s="95"/>
      <c r="CO334" s="95"/>
      <c r="CP334" s="95"/>
      <c r="CQ334" s="95"/>
      <c r="CR334" s="95"/>
      <c r="CS334" s="95"/>
      <c r="CT334" s="95"/>
      <c r="CU334" s="95"/>
      <c r="CV334" s="95"/>
      <c r="CW334" s="95"/>
      <c r="CX334" s="95"/>
      <c r="CY334" s="95"/>
      <c r="CZ334" s="95"/>
      <c r="DA334" s="95"/>
      <c r="DB334" s="95"/>
      <c r="DC334" s="95"/>
      <c r="DD334" s="95"/>
      <c r="DE334" s="95"/>
      <c r="DF334" s="95"/>
      <c r="DG334" s="95"/>
      <c r="DH334" s="95"/>
      <c r="DI334" s="95"/>
      <c r="DJ334" s="95"/>
      <c r="DK334" s="95"/>
      <c r="DL334" s="95"/>
      <c r="DM334" s="95"/>
      <c r="DN334" s="95"/>
      <c r="DO334" s="95"/>
      <c r="DP334" s="95"/>
      <c r="DQ334" s="95"/>
      <c r="DR334" s="95"/>
      <c r="DS334" s="95"/>
      <c r="DT334" s="95"/>
      <c r="DU334" s="95"/>
      <c r="DV334" s="95"/>
      <c r="DW334" s="95"/>
      <c r="DX334" s="95"/>
      <c r="DY334" s="95"/>
      <c r="DZ334" s="95"/>
      <c r="EA334" s="95"/>
      <c r="EB334" s="95"/>
      <c r="EC334" s="95"/>
      <c r="ED334" s="95"/>
      <c r="EE334" s="95"/>
      <c r="EF334" s="95"/>
      <c r="EG334" s="95"/>
      <c r="EH334" s="95"/>
      <c r="EI334" s="95"/>
      <c r="EJ334" s="95"/>
      <c r="EK334" s="95"/>
      <c r="EL334" s="95"/>
      <c r="EM334" s="95"/>
      <c r="EN334" s="95"/>
      <c r="EO334" s="95"/>
      <c r="EP334" s="95"/>
      <c r="EQ334" s="95"/>
      <c r="ER334" s="95"/>
      <c r="ES334" s="95"/>
      <c r="ET334" s="95"/>
      <c r="EU334" s="95"/>
      <c r="EV334" s="95"/>
      <c r="EW334" s="95"/>
      <c r="EX334" s="95"/>
      <c r="EY334" s="95"/>
      <c r="EZ334" s="95"/>
      <c r="FA334" s="95"/>
      <c r="FB334" s="95"/>
      <c r="FC334" s="95"/>
      <c r="FD334" s="95"/>
      <c r="FE334" s="95"/>
      <c r="FF334" s="95"/>
      <c r="FG334" s="95"/>
      <c r="FH334" s="95"/>
      <c r="FI334" s="95"/>
      <c r="FJ334" s="95"/>
      <c r="FK334" s="95"/>
      <c r="FL334" s="95"/>
      <c r="FM334" s="95"/>
      <c r="FN334" s="95"/>
      <c r="FO334" s="95"/>
      <c r="FP334" s="95"/>
      <c r="FQ334" s="95"/>
      <c r="FR334" s="95"/>
      <c r="FS334" s="95"/>
      <c r="FT334" s="95"/>
      <c r="FU334" s="95"/>
      <c r="FV334" s="95"/>
      <c r="FW334" s="95"/>
      <c r="FX334" s="95"/>
      <c r="FY334" s="95"/>
      <c r="FZ334" s="95"/>
      <c r="GA334" s="95"/>
      <c r="GB334" s="95"/>
      <c r="GC334" s="95"/>
      <c r="GD334" s="95"/>
      <c r="GE334" s="95"/>
      <c r="GF334" s="95"/>
      <c r="GG334" s="95"/>
      <c r="GH334" s="95"/>
      <c r="GI334" s="95"/>
      <c r="GJ334" s="95"/>
      <c r="GK334" s="95"/>
      <c r="GL334" s="95"/>
      <c r="GM334" s="95"/>
      <c r="GN334" s="95"/>
      <c r="GO334" s="95"/>
      <c r="GP334" s="95"/>
      <c r="GQ334" s="95"/>
      <c r="GR334" s="95"/>
      <c r="GS334" s="95"/>
      <c r="GT334" s="95"/>
      <c r="GU334" s="95"/>
      <c r="GV334" s="95"/>
      <c r="GW334" s="95"/>
      <c r="GX334" s="95"/>
      <c r="GY334" s="95"/>
    </row>
    <row r="335" spans="1:207" s="31" customFormat="1" ht="28.5" x14ac:dyDescent="0.45">
      <c r="A335" s="31" t="s">
        <v>63</v>
      </c>
      <c r="B335" s="31" t="s">
        <v>74</v>
      </c>
      <c r="C335" s="32" t="s">
        <v>64</v>
      </c>
      <c r="D335" s="31" t="s">
        <v>32</v>
      </c>
      <c r="E335" s="50">
        <v>8.473302721840778E-2</v>
      </c>
      <c r="F335" s="50">
        <v>8.4028507152955137E-2</v>
      </c>
      <c r="G335" s="50">
        <v>8.5449460984583947E-2</v>
      </c>
      <c r="H335" s="32" t="s">
        <v>33</v>
      </c>
      <c r="I335" s="31" t="s">
        <v>34</v>
      </c>
      <c r="J335" s="32"/>
      <c r="L335" s="32"/>
      <c r="N335" s="32"/>
      <c r="O335" s="110"/>
      <c r="P335" s="108"/>
      <c r="Q335" s="34"/>
      <c r="R335" s="98" t="s">
        <v>211</v>
      </c>
      <c r="X335" s="95"/>
      <c r="Y335" s="95"/>
      <c r="Z335" s="95"/>
      <c r="AA335" s="95"/>
      <c r="AB335" s="95"/>
      <c r="AC335" s="95"/>
      <c r="AD335" s="95"/>
      <c r="AE335" s="95"/>
      <c r="AF335" s="95"/>
      <c r="AG335" s="95"/>
      <c r="AH335" s="95"/>
      <c r="AI335" s="95"/>
      <c r="AJ335" s="95"/>
      <c r="AK335" s="95"/>
      <c r="AL335" s="95"/>
      <c r="AM335" s="95"/>
      <c r="AN335" s="95"/>
      <c r="AO335" s="95"/>
      <c r="AP335" s="95"/>
      <c r="AQ335" s="95"/>
      <c r="AR335" s="95"/>
      <c r="AS335" s="95"/>
      <c r="AT335" s="95"/>
      <c r="AU335" s="95"/>
      <c r="AV335" s="95"/>
      <c r="AW335" s="95"/>
      <c r="AX335" s="95"/>
      <c r="AY335" s="95"/>
      <c r="AZ335" s="95"/>
      <c r="BA335" s="95"/>
      <c r="BB335" s="95"/>
      <c r="BC335" s="95"/>
      <c r="BD335" s="95"/>
      <c r="BE335" s="95"/>
      <c r="BF335" s="95"/>
      <c r="BG335" s="95"/>
      <c r="BH335" s="95"/>
      <c r="BI335" s="95"/>
      <c r="BJ335" s="95"/>
      <c r="BK335" s="95"/>
      <c r="BL335" s="95"/>
      <c r="BM335" s="95"/>
      <c r="BN335" s="95"/>
      <c r="BO335" s="95"/>
      <c r="BP335" s="95"/>
      <c r="BQ335" s="95"/>
      <c r="BR335" s="95"/>
      <c r="BS335" s="95"/>
      <c r="BT335" s="95"/>
      <c r="BU335" s="95"/>
      <c r="BV335" s="95"/>
      <c r="BW335" s="95"/>
      <c r="BX335" s="95"/>
      <c r="BY335" s="95"/>
      <c r="BZ335" s="95"/>
      <c r="CA335" s="95"/>
      <c r="CB335" s="95"/>
      <c r="CC335" s="95"/>
      <c r="CD335" s="95"/>
      <c r="CE335" s="95"/>
      <c r="CF335" s="95"/>
      <c r="CG335" s="95"/>
      <c r="CH335" s="95"/>
      <c r="CI335" s="95"/>
      <c r="CJ335" s="95"/>
      <c r="CK335" s="95"/>
      <c r="CL335" s="95"/>
      <c r="CM335" s="95"/>
      <c r="CN335" s="95"/>
      <c r="CO335" s="95"/>
      <c r="CP335" s="95"/>
      <c r="CQ335" s="95"/>
      <c r="CR335" s="95"/>
      <c r="CS335" s="95"/>
      <c r="CT335" s="95"/>
      <c r="CU335" s="95"/>
      <c r="CV335" s="95"/>
      <c r="CW335" s="95"/>
      <c r="CX335" s="95"/>
      <c r="CY335" s="95"/>
      <c r="CZ335" s="95"/>
      <c r="DA335" s="95"/>
      <c r="DB335" s="95"/>
      <c r="DC335" s="95"/>
      <c r="DD335" s="95"/>
      <c r="DE335" s="95"/>
      <c r="DF335" s="95"/>
      <c r="DG335" s="95"/>
      <c r="DH335" s="95"/>
      <c r="DI335" s="95"/>
      <c r="DJ335" s="95"/>
      <c r="DK335" s="95"/>
      <c r="DL335" s="95"/>
      <c r="DM335" s="95"/>
      <c r="DN335" s="95"/>
      <c r="DO335" s="95"/>
      <c r="DP335" s="95"/>
      <c r="DQ335" s="95"/>
      <c r="DR335" s="95"/>
      <c r="DS335" s="95"/>
      <c r="DT335" s="95"/>
      <c r="DU335" s="95"/>
      <c r="DV335" s="95"/>
      <c r="DW335" s="95"/>
      <c r="DX335" s="95"/>
      <c r="DY335" s="95"/>
      <c r="DZ335" s="95"/>
      <c r="EA335" s="95"/>
      <c r="EB335" s="95"/>
      <c r="EC335" s="95"/>
      <c r="ED335" s="95"/>
      <c r="EE335" s="95"/>
      <c r="EF335" s="95"/>
      <c r="EG335" s="95"/>
      <c r="EH335" s="95"/>
      <c r="EI335" s="95"/>
      <c r="EJ335" s="95"/>
      <c r="EK335" s="95"/>
      <c r="EL335" s="95"/>
      <c r="EM335" s="95"/>
      <c r="EN335" s="95"/>
      <c r="EO335" s="95"/>
      <c r="EP335" s="95"/>
      <c r="EQ335" s="95"/>
      <c r="ER335" s="95"/>
      <c r="ES335" s="95"/>
      <c r="ET335" s="95"/>
      <c r="EU335" s="95"/>
      <c r="EV335" s="95"/>
      <c r="EW335" s="95"/>
      <c r="EX335" s="95"/>
      <c r="EY335" s="95"/>
      <c r="EZ335" s="95"/>
      <c r="FA335" s="95"/>
      <c r="FB335" s="95"/>
      <c r="FC335" s="95"/>
      <c r="FD335" s="95"/>
      <c r="FE335" s="95"/>
      <c r="FF335" s="95"/>
      <c r="FG335" s="95"/>
      <c r="FH335" s="95"/>
      <c r="FI335" s="95"/>
      <c r="FJ335" s="95"/>
      <c r="FK335" s="95"/>
      <c r="FL335" s="95"/>
      <c r="FM335" s="95"/>
      <c r="FN335" s="95"/>
      <c r="FO335" s="95"/>
      <c r="FP335" s="95"/>
      <c r="FQ335" s="95"/>
      <c r="FR335" s="95"/>
      <c r="FS335" s="95"/>
      <c r="FT335" s="95"/>
      <c r="FU335" s="95"/>
      <c r="FV335" s="95"/>
      <c r="FW335" s="95"/>
      <c r="FX335" s="95"/>
      <c r="FY335" s="95"/>
      <c r="FZ335" s="95"/>
      <c r="GA335" s="95"/>
      <c r="GB335" s="95"/>
      <c r="GC335" s="95"/>
      <c r="GD335" s="95"/>
      <c r="GE335" s="95"/>
      <c r="GF335" s="95"/>
      <c r="GG335" s="95"/>
      <c r="GH335" s="95"/>
      <c r="GI335" s="95"/>
      <c r="GJ335" s="95"/>
      <c r="GK335" s="95"/>
      <c r="GL335" s="95"/>
      <c r="GM335" s="95"/>
      <c r="GN335" s="95"/>
      <c r="GO335" s="95"/>
      <c r="GP335" s="95"/>
      <c r="GQ335" s="95"/>
      <c r="GR335" s="95"/>
      <c r="GS335" s="95"/>
      <c r="GT335" s="95"/>
      <c r="GU335" s="95"/>
      <c r="GV335" s="95"/>
      <c r="GW335" s="95"/>
      <c r="GX335" s="95"/>
      <c r="GY335" s="95"/>
    </row>
    <row r="336" spans="1:207" x14ac:dyDescent="0.45">
      <c r="A336" t="s">
        <v>63</v>
      </c>
      <c r="B336" t="s">
        <v>74</v>
      </c>
      <c r="C336" s="2" t="s">
        <v>40</v>
      </c>
      <c r="D336" t="s">
        <v>32</v>
      </c>
      <c r="E336" s="18">
        <v>0</v>
      </c>
      <c r="F336" s="18">
        <v>0</v>
      </c>
      <c r="G336" s="18">
        <v>0</v>
      </c>
      <c r="H336" s="2" t="s">
        <v>24</v>
      </c>
      <c r="I336" t="s">
        <v>18</v>
      </c>
      <c r="J336" s="2"/>
      <c r="L336" s="2"/>
      <c r="N336" s="2"/>
      <c r="O336" s="109"/>
      <c r="P336" s="107"/>
      <c r="Q336" s="4"/>
      <c r="R336" s="97"/>
    </row>
    <row r="337" spans="1:207" x14ac:dyDescent="0.45">
      <c r="A337" t="s">
        <v>63</v>
      </c>
      <c r="B337" t="s">
        <v>74</v>
      </c>
      <c r="C337" s="2" t="s">
        <v>40</v>
      </c>
      <c r="D337" t="s">
        <v>32</v>
      </c>
      <c r="E337" s="18">
        <v>0</v>
      </c>
      <c r="F337" s="18">
        <v>0</v>
      </c>
      <c r="G337" s="18">
        <v>0</v>
      </c>
      <c r="H337" s="2" t="s">
        <v>24</v>
      </c>
      <c r="I337" t="s">
        <v>25</v>
      </c>
      <c r="J337" s="2"/>
      <c r="L337" s="2"/>
      <c r="N337" s="2"/>
      <c r="O337" s="109"/>
      <c r="P337" s="107"/>
      <c r="Q337" s="4"/>
      <c r="R337" s="97" t="s">
        <v>197</v>
      </c>
    </row>
    <row r="338" spans="1:207" x14ac:dyDescent="0.45">
      <c r="A338" t="s">
        <v>63</v>
      </c>
      <c r="B338" t="s">
        <v>74</v>
      </c>
      <c r="C338" s="2" t="s">
        <v>41</v>
      </c>
      <c r="D338" t="s">
        <v>32</v>
      </c>
      <c r="E338" s="18">
        <v>0</v>
      </c>
      <c r="F338" s="18">
        <v>0</v>
      </c>
      <c r="G338" s="18">
        <v>0</v>
      </c>
      <c r="H338" s="2" t="s">
        <v>40</v>
      </c>
      <c r="I338" t="s">
        <v>32</v>
      </c>
      <c r="J338" s="2" t="s">
        <v>64</v>
      </c>
      <c r="K338" t="s">
        <v>32</v>
      </c>
      <c r="L338" s="2"/>
      <c r="N338" s="2"/>
      <c r="O338" s="109"/>
      <c r="P338" s="107"/>
      <c r="Q338" s="4"/>
      <c r="R338" s="97"/>
    </row>
    <row r="339" spans="1:207" x14ac:dyDescent="0.45">
      <c r="A339" t="s">
        <v>63</v>
      </c>
      <c r="B339" t="s">
        <v>74</v>
      </c>
      <c r="C339" s="2" t="s">
        <v>41</v>
      </c>
      <c r="D339" t="s">
        <v>32</v>
      </c>
      <c r="E339" s="18">
        <v>0</v>
      </c>
      <c r="F339" s="18">
        <v>0</v>
      </c>
      <c r="G339" s="18">
        <v>0</v>
      </c>
      <c r="H339" s="2" t="s">
        <v>40</v>
      </c>
      <c r="I339" t="s">
        <v>34</v>
      </c>
      <c r="J339" s="2" t="s">
        <v>64</v>
      </c>
      <c r="K339" t="s">
        <v>32</v>
      </c>
      <c r="L339" s="2"/>
      <c r="N339" s="2"/>
      <c r="O339" s="109"/>
      <c r="P339" s="107"/>
      <c r="Q339" s="4"/>
      <c r="R339" s="97"/>
    </row>
    <row r="340" spans="1:207" x14ac:dyDescent="0.45">
      <c r="A340" t="s">
        <v>63</v>
      </c>
      <c r="B340" t="s">
        <v>74</v>
      </c>
      <c r="C340" s="2" t="s">
        <v>41</v>
      </c>
      <c r="D340" t="s">
        <v>32</v>
      </c>
      <c r="E340" s="18">
        <v>0</v>
      </c>
      <c r="F340" s="18">
        <v>0</v>
      </c>
      <c r="G340" s="18">
        <v>0</v>
      </c>
      <c r="H340" s="2" t="s">
        <v>40</v>
      </c>
      <c r="I340" t="s">
        <v>32</v>
      </c>
      <c r="J340" s="2" t="s">
        <v>64</v>
      </c>
      <c r="K340" t="s">
        <v>34</v>
      </c>
      <c r="L340" s="2"/>
      <c r="N340" s="2"/>
      <c r="O340" s="109"/>
      <c r="P340" s="107"/>
      <c r="Q340" s="4"/>
      <c r="R340" s="97"/>
    </row>
    <row r="341" spans="1:207" x14ac:dyDescent="0.45">
      <c r="A341" t="s">
        <v>63</v>
      </c>
      <c r="B341" t="s">
        <v>74</v>
      </c>
      <c r="C341" s="2" t="s">
        <v>41</v>
      </c>
      <c r="D341" t="s">
        <v>32</v>
      </c>
      <c r="E341" s="18">
        <v>0</v>
      </c>
      <c r="F341" s="18">
        <v>0</v>
      </c>
      <c r="G341" s="18">
        <v>0</v>
      </c>
      <c r="H341" s="2" t="s">
        <v>40</v>
      </c>
      <c r="I341" t="s">
        <v>34</v>
      </c>
      <c r="J341" s="2" t="s">
        <v>64</v>
      </c>
      <c r="K341" t="s">
        <v>34</v>
      </c>
      <c r="L341" s="2"/>
      <c r="N341" s="2"/>
      <c r="O341" s="109"/>
      <c r="P341" s="107"/>
      <c r="Q341" s="4"/>
      <c r="R341" s="97"/>
    </row>
    <row r="342" spans="1:207" ht="57" x14ac:dyDescent="0.45">
      <c r="A342" t="s">
        <v>63</v>
      </c>
      <c r="B342" t="s">
        <v>74</v>
      </c>
      <c r="C342" s="2" t="s">
        <v>65</v>
      </c>
      <c r="D342" t="s">
        <v>32</v>
      </c>
      <c r="E342" s="23">
        <v>5.4678974979521816E-2</v>
      </c>
      <c r="F342" s="23">
        <v>4.6789749795218133E-3</v>
      </c>
      <c r="G342" s="23">
        <v>0.10467897497952182</v>
      </c>
      <c r="H342" s="2" t="s">
        <v>41</v>
      </c>
      <c r="I342" t="s">
        <v>32</v>
      </c>
      <c r="J342" s="2" t="s">
        <v>64</v>
      </c>
      <c r="K342" t="s">
        <v>32</v>
      </c>
      <c r="L342" s="2" t="s">
        <v>29</v>
      </c>
      <c r="M342" t="s">
        <v>18</v>
      </c>
      <c r="N342" s="2"/>
      <c r="O342" s="109"/>
      <c r="P342" s="107"/>
      <c r="Q342" s="4"/>
      <c r="R342" s="103" t="s">
        <v>239</v>
      </c>
    </row>
    <row r="343" spans="1:207" ht="57" x14ac:dyDescent="0.45">
      <c r="A343" t="s">
        <v>63</v>
      </c>
      <c r="B343" t="s">
        <v>74</v>
      </c>
      <c r="C343" s="2" t="s">
        <v>65</v>
      </c>
      <c r="D343" t="s">
        <v>32</v>
      </c>
      <c r="E343" s="23">
        <v>5.4678974979521816E-2</v>
      </c>
      <c r="F343" s="23">
        <v>4.6789749795218133E-3</v>
      </c>
      <c r="G343" s="23">
        <v>0.10467897497952182</v>
      </c>
      <c r="H343" s="2" t="s">
        <v>41</v>
      </c>
      <c r="I343" t="s">
        <v>34</v>
      </c>
      <c r="J343" s="2" t="s">
        <v>64</v>
      </c>
      <c r="K343" t="s">
        <v>32</v>
      </c>
      <c r="L343" s="2" t="s">
        <v>29</v>
      </c>
      <c r="M343" t="s">
        <v>18</v>
      </c>
      <c r="N343" s="2"/>
      <c r="O343" s="109"/>
      <c r="P343" s="107"/>
      <c r="Q343" s="4"/>
      <c r="R343" s="103" t="s">
        <v>239</v>
      </c>
    </row>
    <row r="344" spans="1:207" x14ac:dyDescent="0.45">
      <c r="A344" t="s">
        <v>63</v>
      </c>
      <c r="B344" t="s">
        <v>74</v>
      </c>
      <c r="C344" s="2" t="s">
        <v>65</v>
      </c>
      <c r="D344" t="s">
        <v>32</v>
      </c>
      <c r="E344" s="18">
        <v>0</v>
      </c>
      <c r="F344" s="18">
        <v>0</v>
      </c>
      <c r="G344" s="18">
        <v>0</v>
      </c>
      <c r="H344" s="2" t="s">
        <v>41</v>
      </c>
      <c r="I344" t="s">
        <v>32</v>
      </c>
      <c r="J344" s="2" t="s">
        <v>64</v>
      </c>
      <c r="K344" t="s">
        <v>34</v>
      </c>
      <c r="L344" s="2" t="s">
        <v>29</v>
      </c>
      <c r="M344" t="s">
        <v>18</v>
      </c>
      <c r="N344" s="2"/>
      <c r="O344" s="109"/>
      <c r="P344" s="107"/>
      <c r="Q344" s="4"/>
      <c r="R344" s="103" t="s">
        <v>101</v>
      </c>
    </row>
    <row r="345" spans="1:207" x14ac:dyDescent="0.45">
      <c r="A345" t="s">
        <v>63</v>
      </c>
      <c r="B345" t="s">
        <v>74</v>
      </c>
      <c r="C345" s="2" t="s">
        <v>65</v>
      </c>
      <c r="D345" t="s">
        <v>32</v>
      </c>
      <c r="E345" s="18">
        <v>0</v>
      </c>
      <c r="F345" s="18">
        <v>0</v>
      </c>
      <c r="G345" s="18">
        <v>0</v>
      </c>
      <c r="H345" s="2" t="s">
        <v>41</v>
      </c>
      <c r="I345" t="s">
        <v>34</v>
      </c>
      <c r="J345" s="2" t="s">
        <v>64</v>
      </c>
      <c r="K345" t="s">
        <v>34</v>
      </c>
      <c r="L345" s="2" t="s">
        <v>29</v>
      </c>
      <c r="M345" t="s">
        <v>18</v>
      </c>
      <c r="N345" s="2"/>
      <c r="O345" s="109"/>
      <c r="P345" s="107"/>
      <c r="Q345" s="4"/>
      <c r="R345" s="103" t="s">
        <v>101</v>
      </c>
    </row>
    <row r="346" spans="1:207" ht="42.75" x14ac:dyDescent="0.45">
      <c r="A346" t="s">
        <v>63</v>
      </c>
      <c r="B346" t="s">
        <v>74</v>
      </c>
      <c r="C346" s="2" t="s">
        <v>65</v>
      </c>
      <c r="D346" t="s">
        <v>32</v>
      </c>
      <c r="E346" s="18">
        <v>0.6</v>
      </c>
      <c r="F346" s="18">
        <v>0.5</v>
      </c>
      <c r="G346" s="18">
        <v>0.7</v>
      </c>
      <c r="H346" s="2" t="s">
        <v>41</v>
      </c>
      <c r="I346" t="s">
        <v>32</v>
      </c>
      <c r="J346" s="2" t="s">
        <v>64</v>
      </c>
      <c r="K346" t="s">
        <v>32</v>
      </c>
      <c r="L346" s="2" t="s">
        <v>29</v>
      </c>
      <c r="M346" t="s">
        <v>30</v>
      </c>
      <c r="N346" s="2"/>
      <c r="O346" s="109"/>
      <c r="P346" s="107"/>
      <c r="Q346" s="4"/>
      <c r="R346" s="104" t="s">
        <v>235</v>
      </c>
    </row>
    <row r="347" spans="1:207" ht="42.75" x14ac:dyDescent="0.45">
      <c r="A347" t="s">
        <v>63</v>
      </c>
      <c r="B347" t="s">
        <v>74</v>
      </c>
      <c r="C347" s="2" t="s">
        <v>65</v>
      </c>
      <c r="D347" t="s">
        <v>32</v>
      </c>
      <c r="E347" s="18">
        <v>0.6</v>
      </c>
      <c r="F347" s="18">
        <v>0.5</v>
      </c>
      <c r="G347" s="18">
        <v>0.7</v>
      </c>
      <c r="H347" s="2" t="s">
        <v>41</v>
      </c>
      <c r="I347" t="s">
        <v>34</v>
      </c>
      <c r="J347" s="2" t="s">
        <v>64</v>
      </c>
      <c r="K347" t="s">
        <v>32</v>
      </c>
      <c r="L347" s="2" t="s">
        <v>29</v>
      </c>
      <c r="M347" t="s">
        <v>30</v>
      </c>
      <c r="N347" s="2"/>
      <c r="O347" s="109"/>
      <c r="P347" s="107"/>
      <c r="Q347" s="4"/>
      <c r="R347" s="104" t="s">
        <v>236</v>
      </c>
    </row>
    <row r="348" spans="1:207" x14ac:dyDescent="0.45">
      <c r="A348" t="s">
        <v>63</v>
      </c>
      <c r="B348" t="s">
        <v>74</v>
      </c>
      <c r="C348" s="2" t="s">
        <v>65</v>
      </c>
      <c r="D348" t="s">
        <v>32</v>
      </c>
      <c r="E348" s="18">
        <v>0</v>
      </c>
      <c r="F348" s="18">
        <v>0</v>
      </c>
      <c r="G348" s="18">
        <v>0</v>
      </c>
      <c r="H348" s="2" t="s">
        <v>41</v>
      </c>
      <c r="I348" t="s">
        <v>32</v>
      </c>
      <c r="J348" s="2" t="s">
        <v>64</v>
      </c>
      <c r="K348" t="s">
        <v>34</v>
      </c>
      <c r="L348" s="2" t="s">
        <v>29</v>
      </c>
      <c r="M348" t="s">
        <v>30</v>
      </c>
      <c r="N348" s="2"/>
      <c r="O348" s="109"/>
      <c r="P348" s="107"/>
      <c r="Q348" s="4"/>
      <c r="R348" s="97" t="s">
        <v>101</v>
      </c>
    </row>
    <row r="349" spans="1:207" x14ac:dyDescent="0.45">
      <c r="A349" t="s">
        <v>63</v>
      </c>
      <c r="B349" t="s">
        <v>74</v>
      </c>
      <c r="C349" s="2" t="s">
        <v>65</v>
      </c>
      <c r="D349" t="s">
        <v>32</v>
      </c>
      <c r="E349" s="18">
        <v>0</v>
      </c>
      <c r="F349" s="18">
        <v>0</v>
      </c>
      <c r="G349" s="18">
        <v>0</v>
      </c>
      <c r="H349" s="2" t="s">
        <v>41</v>
      </c>
      <c r="I349" t="s">
        <v>34</v>
      </c>
      <c r="J349" s="2" t="s">
        <v>64</v>
      </c>
      <c r="K349" t="s">
        <v>34</v>
      </c>
      <c r="L349" s="2" t="s">
        <v>29</v>
      </c>
      <c r="M349" t="s">
        <v>30</v>
      </c>
      <c r="N349" s="2"/>
      <c r="O349" s="109"/>
      <c r="P349" s="107"/>
      <c r="Q349" s="4"/>
      <c r="R349" s="97" t="s">
        <v>101</v>
      </c>
    </row>
    <row r="350" spans="1:207" s="31" customFormat="1" ht="42.75" x14ac:dyDescent="0.45">
      <c r="A350" s="31" t="s">
        <v>63</v>
      </c>
      <c r="B350" s="31" t="s">
        <v>74</v>
      </c>
      <c r="C350" s="32" t="s">
        <v>66</v>
      </c>
      <c r="D350" s="31" t="s">
        <v>32</v>
      </c>
      <c r="E350" s="47">
        <v>8.5506227558048847E-3</v>
      </c>
      <c r="F350" s="50">
        <v>3.1972793208720567E-3</v>
      </c>
      <c r="G350" s="50">
        <v>1.3934877200785928E-2</v>
      </c>
      <c r="H350" s="32" t="s">
        <v>65</v>
      </c>
      <c r="I350" s="31" t="s">
        <v>32</v>
      </c>
      <c r="J350" s="32" t="s">
        <v>41</v>
      </c>
      <c r="K350" s="31" t="s">
        <v>32</v>
      </c>
      <c r="L350" s="32" t="s">
        <v>64</v>
      </c>
      <c r="M350" s="31" t="s">
        <v>32</v>
      </c>
      <c r="N350" s="32"/>
      <c r="O350" s="110"/>
      <c r="P350" s="108"/>
      <c r="Q350" s="34"/>
      <c r="R350" s="98" t="s">
        <v>212</v>
      </c>
      <c r="X350" s="95"/>
      <c r="Y350" s="95"/>
      <c r="Z350" s="95"/>
      <c r="AA350" s="95"/>
      <c r="AB350" s="95"/>
      <c r="AC350" s="95"/>
      <c r="AD350" s="95"/>
      <c r="AE350" s="95"/>
      <c r="AF350" s="95"/>
      <c r="AG350" s="95"/>
      <c r="AH350" s="95"/>
      <c r="AI350" s="95"/>
      <c r="AJ350" s="95"/>
      <c r="AK350" s="95"/>
      <c r="AL350" s="95"/>
      <c r="AM350" s="95"/>
      <c r="AN350" s="95"/>
      <c r="AO350" s="95"/>
      <c r="AP350" s="95"/>
      <c r="AQ350" s="95"/>
      <c r="AR350" s="95"/>
      <c r="AS350" s="95"/>
      <c r="AT350" s="95"/>
      <c r="AU350" s="95"/>
      <c r="AV350" s="95"/>
      <c r="AW350" s="95"/>
      <c r="AX350" s="95"/>
      <c r="AY350" s="95"/>
      <c r="AZ350" s="95"/>
      <c r="BA350" s="95"/>
      <c r="BB350" s="95"/>
      <c r="BC350" s="95"/>
      <c r="BD350" s="95"/>
      <c r="BE350" s="95"/>
      <c r="BF350" s="95"/>
      <c r="BG350" s="95"/>
      <c r="BH350" s="95"/>
      <c r="BI350" s="95"/>
      <c r="BJ350" s="95"/>
      <c r="BK350" s="95"/>
      <c r="BL350" s="95"/>
      <c r="BM350" s="95"/>
      <c r="BN350" s="95"/>
      <c r="BO350" s="95"/>
      <c r="BP350" s="95"/>
      <c r="BQ350" s="95"/>
      <c r="BR350" s="95"/>
      <c r="BS350" s="95"/>
      <c r="BT350" s="95"/>
      <c r="BU350" s="95"/>
      <c r="BV350" s="95"/>
      <c r="BW350" s="95"/>
      <c r="BX350" s="95"/>
      <c r="BY350" s="95"/>
      <c r="BZ350" s="95"/>
      <c r="CA350" s="95"/>
      <c r="CB350" s="95"/>
      <c r="CC350" s="95"/>
      <c r="CD350" s="95"/>
      <c r="CE350" s="95"/>
      <c r="CF350" s="95"/>
      <c r="CG350" s="95"/>
      <c r="CH350" s="95"/>
      <c r="CI350" s="95"/>
      <c r="CJ350" s="95"/>
      <c r="CK350" s="95"/>
      <c r="CL350" s="95"/>
      <c r="CM350" s="95"/>
      <c r="CN350" s="95"/>
      <c r="CO350" s="95"/>
      <c r="CP350" s="95"/>
      <c r="CQ350" s="95"/>
      <c r="CR350" s="95"/>
      <c r="CS350" s="95"/>
      <c r="CT350" s="95"/>
      <c r="CU350" s="95"/>
      <c r="CV350" s="95"/>
      <c r="CW350" s="95"/>
      <c r="CX350" s="95"/>
      <c r="CY350" s="95"/>
      <c r="CZ350" s="95"/>
      <c r="DA350" s="95"/>
      <c r="DB350" s="95"/>
      <c r="DC350" s="95"/>
      <c r="DD350" s="95"/>
      <c r="DE350" s="95"/>
      <c r="DF350" s="95"/>
      <c r="DG350" s="95"/>
      <c r="DH350" s="95"/>
      <c r="DI350" s="95"/>
      <c r="DJ350" s="95"/>
      <c r="DK350" s="95"/>
      <c r="DL350" s="95"/>
      <c r="DM350" s="95"/>
      <c r="DN350" s="95"/>
      <c r="DO350" s="95"/>
      <c r="DP350" s="95"/>
      <c r="DQ350" s="95"/>
      <c r="DR350" s="95"/>
      <c r="DS350" s="95"/>
      <c r="DT350" s="95"/>
      <c r="DU350" s="95"/>
      <c r="DV350" s="95"/>
      <c r="DW350" s="95"/>
      <c r="DX350" s="95"/>
      <c r="DY350" s="95"/>
      <c r="DZ350" s="95"/>
      <c r="EA350" s="95"/>
      <c r="EB350" s="95"/>
      <c r="EC350" s="95"/>
      <c r="ED350" s="95"/>
      <c r="EE350" s="95"/>
      <c r="EF350" s="95"/>
      <c r="EG350" s="95"/>
      <c r="EH350" s="95"/>
      <c r="EI350" s="95"/>
      <c r="EJ350" s="95"/>
      <c r="EK350" s="95"/>
      <c r="EL350" s="95"/>
      <c r="EM350" s="95"/>
      <c r="EN350" s="95"/>
      <c r="EO350" s="95"/>
      <c r="EP350" s="95"/>
      <c r="EQ350" s="95"/>
      <c r="ER350" s="95"/>
      <c r="ES350" s="95"/>
      <c r="ET350" s="95"/>
      <c r="EU350" s="95"/>
      <c r="EV350" s="95"/>
      <c r="EW350" s="95"/>
      <c r="EX350" s="95"/>
      <c r="EY350" s="95"/>
      <c r="EZ350" s="95"/>
      <c r="FA350" s="95"/>
      <c r="FB350" s="95"/>
      <c r="FC350" s="95"/>
      <c r="FD350" s="95"/>
      <c r="FE350" s="95"/>
      <c r="FF350" s="95"/>
      <c r="FG350" s="95"/>
      <c r="FH350" s="95"/>
      <c r="FI350" s="95"/>
      <c r="FJ350" s="95"/>
      <c r="FK350" s="95"/>
      <c r="FL350" s="95"/>
      <c r="FM350" s="95"/>
      <c r="FN350" s="95"/>
      <c r="FO350" s="95"/>
      <c r="FP350" s="95"/>
      <c r="FQ350" s="95"/>
      <c r="FR350" s="95"/>
      <c r="FS350" s="95"/>
      <c r="FT350" s="95"/>
      <c r="FU350" s="95"/>
      <c r="FV350" s="95"/>
      <c r="FW350" s="95"/>
      <c r="FX350" s="95"/>
      <c r="FY350" s="95"/>
      <c r="FZ350" s="95"/>
      <c r="GA350" s="95"/>
      <c r="GB350" s="95"/>
      <c r="GC350" s="95"/>
      <c r="GD350" s="95"/>
      <c r="GE350" s="95"/>
      <c r="GF350" s="95"/>
      <c r="GG350" s="95"/>
      <c r="GH350" s="95"/>
      <c r="GI350" s="95"/>
      <c r="GJ350" s="95"/>
      <c r="GK350" s="95"/>
      <c r="GL350" s="95"/>
      <c r="GM350" s="95"/>
      <c r="GN350" s="95"/>
      <c r="GO350" s="95"/>
      <c r="GP350" s="95"/>
      <c r="GQ350" s="95"/>
      <c r="GR350" s="95"/>
      <c r="GS350" s="95"/>
      <c r="GT350" s="95"/>
      <c r="GU350" s="95"/>
      <c r="GV350" s="95"/>
      <c r="GW350" s="95"/>
      <c r="GX350" s="95"/>
      <c r="GY350" s="95"/>
    </row>
    <row r="351" spans="1:207" s="31" customFormat="1" ht="42.75" x14ac:dyDescent="0.45">
      <c r="A351" s="31" t="s">
        <v>63</v>
      </c>
      <c r="B351" s="31" t="s">
        <v>74</v>
      </c>
      <c r="C351" s="32" t="s">
        <v>66</v>
      </c>
      <c r="D351" s="59" t="s">
        <v>32</v>
      </c>
      <c r="E351" s="60">
        <v>0.10688278444756105</v>
      </c>
      <c r="F351" s="50">
        <v>0.10657597736240189</v>
      </c>
      <c r="G351" s="50">
        <v>0.10719136308296867</v>
      </c>
      <c r="H351" s="32" t="s">
        <v>65</v>
      </c>
      <c r="I351" s="31" t="s">
        <v>34</v>
      </c>
      <c r="J351" s="32" t="s">
        <v>41</v>
      </c>
      <c r="K351" s="31" t="s">
        <v>32</v>
      </c>
      <c r="L351" s="32" t="s">
        <v>64</v>
      </c>
      <c r="M351" s="31" t="s">
        <v>32</v>
      </c>
      <c r="N351" s="32"/>
      <c r="O351" s="110"/>
      <c r="P351" s="108"/>
      <c r="Q351" s="34"/>
      <c r="R351" s="98" t="s">
        <v>212</v>
      </c>
      <c r="X351" s="95"/>
      <c r="Y351" s="95"/>
      <c r="Z351" s="95"/>
      <c r="AA351" s="95"/>
      <c r="AB351" s="95"/>
      <c r="AC351" s="95"/>
      <c r="AD351" s="95"/>
      <c r="AE351" s="95"/>
      <c r="AF351" s="95"/>
      <c r="AG351" s="95"/>
      <c r="AH351" s="95"/>
      <c r="AI351" s="95"/>
      <c r="AJ351" s="95"/>
      <c r="AK351" s="95"/>
      <c r="AL351" s="95"/>
      <c r="AM351" s="95"/>
      <c r="AN351" s="95"/>
      <c r="AO351" s="95"/>
      <c r="AP351" s="95"/>
      <c r="AQ351" s="95"/>
      <c r="AR351" s="95"/>
      <c r="AS351" s="95"/>
      <c r="AT351" s="95"/>
      <c r="AU351" s="95"/>
      <c r="AV351" s="95"/>
      <c r="AW351" s="95"/>
      <c r="AX351" s="95"/>
      <c r="AY351" s="95"/>
      <c r="AZ351" s="95"/>
      <c r="BA351" s="95"/>
      <c r="BB351" s="95"/>
      <c r="BC351" s="95"/>
      <c r="BD351" s="95"/>
      <c r="BE351" s="95"/>
      <c r="BF351" s="95"/>
      <c r="BG351" s="95"/>
      <c r="BH351" s="95"/>
      <c r="BI351" s="95"/>
      <c r="BJ351" s="95"/>
      <c r="BK351" s="95"/>
      <c r="BL351" s="95"/>
      <c r="BM351" s="95"/>
      <c r="BN351" s="95"/>
      <c r="BO351" s="95"/>
      <c r="BP351" s="95"/>
      <c r="BQ351" s="95"/>
      <c r="BR351" s="95"/>
      <c r="BS351" s="95"/>
      <c r="BT351" s="95"/>
      <c r="BU351" s="95"/>
      <c r="BV351" s="95"/>
      <c r="BW351" s="95"/>
      <c r="BX351" s="95"/>
      <c r="BY351" s="95"/>
      <c r="BZ351" s="95"/>
      <c r="CA351" s="95"/>
      <c r="CB351" s="95"/>
      <c r="CC351" s="95"/>
      <c r="CD351" s="95"/>
      <c r="CE351" s="95"/>
      <c r="CF351" s="95"/>
      <c r="CG351" s="95"/>
      <c r="CH351" s="95"/>
      <c r="CI351" s="95"/>
      <c r="CJ351" s="95"/>
      <c r="CK351" s="95"/>
      <c r="CL351" s="95"/>
      <c r="CM351" s="95"/>
      <c r="CN351" s="95"/>
      <c r="CO351" s="95"/>
      <c r="CP351" s="95"/>
      <c r="CQ351" s="95"/>
      <c r="CR351" s="95"/>
      <c r="CS351" s="95"/>
      <c r="CT351" s="95"/>
      <c r="CU351" s="95"/>
      <c r="CV351" s="95"/>
      <c r="CW351" s="95"/>
      <c r="CX351" s="95"/>
      <c r="CY351" s="95"/>
      <c r="CZ351" s="95"/>
      <c r="DA351" s="95"/>
      <c r="DB351" s="95"/>
      <c r="DC351" s="95"/>
      <c r="DD351" s="95"/>
      <c r="DE351" s="95"/>
      <c r="DF351" s="95"/>
      <c r="DG351" s="95"/>
      <c r="DH351" s="95"/>
      <c r="DI351" s="95"/>
      <c r="DJ351" s="95"/>
      <c r="DK351" s="95"/>
      <c r="DL351" s="95"/>
      <c r="DM351" s="95"/>
      <c r="DN351" s="95"/>
      <c r="DO351" s="95"/>
      <c r="DP351" s="95"/>
      <c r="DQ351" s="95"/>
      <c r="DR351" s="95"/>
      <c r="DS351" s="95"/>
      <c r="DT351" s="95"/>
      <c r="DU351" s="95"/>
      <c r="DV351" s="95"/>
      <c r="DW351" s="95"/>
      <c r="DX351" s="95"/>
      <c r="DY351" s="95"/>
      <c r="DZ351" s="95"/>
      <c r="EA351" s="95"/>
      <c r="EB351" s="95"/>
      <c r="EC351" s="95"/>
      <c r="ED351" s="95"/>
      <c r="EE351" s="95"/>
      <c r="EF351" s="95"/>
      <c r="EG351" s="95"/>
      <c r="EH351" s="95"/>
      <c r="EI351" s="95"/>
      <c r="EJ351" s="95"/>
      <c r="EK351" s="95"/>
      <c r="EL351" s="95"/>
      <c r="EM351" s="95"/>
      <c r="EN351" s="95"/>
      <c r="EO351" s="95"/>
      <c r="EP351" s="95"/>
      <c r="EQ351" s="95"/>
      <c r="ER351" s="95"/>
      <c r="ES351" s="95"/>
      <c r="ET351" s="95"/>
      <c r="EU351" s="95"/>
      <c r="EV351" s="95"/>
      <c r="EW351" s="95"/>
      <c r="EX351" s="95"/>
      <c r="EY351" s="95"/>
      <c r="EZ351" s="95"/>
      <c r="FA351" s="95"/>
      <c r="FB351" s="95"/>
      <c r="FC351" s="95"/>
      <c r="FD351" s="95"/>
      <c r="FE351" s="95"/>
      <c r="FF351" s="95"/>
      <c r="FG351" s="95"/>
      <c r="FH351" s="95"/>
      <c r="FI351" s="95"/>
      <c r="FJ351" s="95"/>
      <c r="FK351" s="95"/>
      <c r="FL351" s="95"/>
      <c r="FM351" s="95"/>
      <c r="FN351" s="95"/>
      <c r="FO351" s="95"/>
      <c r="FP351" s="95"/>
      <c r="FQ351" s="95"/>
      <c r="FR351" s="95"/>
      <c r="FS351" s="95"/>
      <c r="FT351" s="95"/>
      <c r="FU351" s="95"/>
      <c r="FV351" s="95"/>
      <c r="FW351" s="95"/>
      <c r="FX351" s="95"/>
      <c r="FY351" s="95"/>
      <c r="FZ351" s="95"/>
      <c r="GA351" s="95"/>
      <c r="GB351" s="95"/>
      <c r="GC351" s="95"/>
      <c r="GD351" s="95"/>
      <c r="GE351" s="95"/>
      <c r="GF351" s="95"/>
      <c r="GG351" s="95"/>
      <c r="GH351" s="95"/>
      <c r="GI351" s="95"/>
      <c r="GJ351" s="95"/>
      <c r="GK351" s="95"/>
      <c r="GL351" s="95"/>
      <c r="GM351" s="95"/>
      <c r="GN351" s="95"/>
      <c r="GO351" s="95"/>
      <c r="GP351" s="95"/>
      <c r="GQ351" s="95"/>
      <c r="GR351" s="95"/>
      <c r="GS351" s="95"/>
      <c r="GT351" s="95"/>
      <c r="GU351" s="95"/>
      <c r="GV351" s="95"/>
      <c r="GW351" s="95"/>
      <c r="GX351" s="95"/>
      <c r="GY351" s="95"/>
    </row>
    <row r="352" spans="1:207" s="31" customFormat="1" ht="42.75" x14ac:dyDescent="0.45">
      <c r="A352" s="31" t="s">
        <v>63</v>
      </c>
      <c r="B352" s="31" t="s">
        <v>74</v>
      </c>
      <c r="C352" s="32" t="s">
        <v>66</v>
      </c>
      <c r="D352" s="31" t="s">
        <v>32</v>
      </c>
      <c r="E352" s="44">
        <v>8.5506227558048847E-3</v>
      </c>
      <c r="F352" s="50">
        <v>3.1972793208720567E-3</v>
      </c>
      <c r="G352" s="50">
        <v>1.3934877200785928E-2</v>
      </c>
      <c r="H352" s="32" t="s">
        <v>65</v>
      </c>
      <c r="I352" s="31" t="s">
        <v>32</v>
      </c>
      <c r="J352" s="32" t="s">
        <v>41</v>
      </c>
      <c r="K352" s="31" t="s">
        <v>34</v>
      </c>
      <c r="L352" s="32" t="s">
        <v>64</v>
      </c>
      <c r="M352" s="31" t="s">
        <v>32</v>
      </c>
      <c r="N352" s="32"/>
      <c r="O352" s="110"/>
      <c r="P352" s="108"/>
      <c r="Q352" s="34"/>
      <c r="R352" s="98" t="s">
        <v>212</v>
      </c>
      <c r="X352" s="95"/>
      <c r="Y352" s="95"/>
      <c r="Z352" s="95"/>
      <c r="AA352" s="95"/>
      <c r="AB352" s="95"/>
      <c r="AC352" s="95"/>
      <c r="AD352" s="95"/>
      <c r="AE352" s="95"/>
      <c r="AF352" s="95"/>
      <c r="AG352" s="95"/>
      <c r="AH352" s="95"/>
      <c r="AI352" s="95"/>
      <c r="AJ352" s="95"/>
      <c r="AK352" s="95"/>
      <c r="AL352" s="95"/>
      <c r="AM352" s="95"/>
      <c r="AN352" s="95"/>
      <c r="AO352" s="95"/>
      <c r="AP352" s="95"/>
      <c r="AQ352" s="95"/>
      <c r="AR352" s="95"/>
      <c r="AS352" s="95"/>
      <c r="AT352" s="95"/>
      <c r="AU352" s="95"/>
      <c r="AV352" s="95"/>
      <c r="AW352" s="95"/>
      <c r="AX352" s="95"/>
      <c r="AY352" s="95"/>
      <c r="AZ352" s="95"/>
      <c r="BA352" s="95"/>
      <c r="BB352" s="95"/>
      <c r="BC352" s="95"/>
      <c r="BD352" s="95"/>
      <c r="BE352" s="95"/>
      <c r="BF352" s="95"/>
      <c r="BG352" s="95"/>
      <c r="BH352" s="95"/>
      <c r="BI352" s="95"/>
      <c r="BJ352" s="95"/>
      <c r="BK352" s="95"/>
      <c r="BL352" s="95"/>
      <c r="BM352" s="95"/>
      <c r="BN352" s="95"/>
      <c r="BO352" s="95"/>
      <c r="BP352" s="95"/>
      <c r="BQ352" s="95"/>
      <c r="BR352" s="95"/>
      <c r="BS352" s="95"/>
      <c r="BT352" s="95"/>
      <c r="BU352" s="95"/>
      <c r="BV352" s="95"/>
      <c r="BW352" s="95"/>
      <c r="BX352" s="95"/>
      <c r="BY352" s="95"/>
      <c r="BZ352" s="95"/>
      <c r="CA352" s="95"/>
      <c r="CB352" s="95"/>
      <c r="CC352" s="95"/>
      <c r="CD352" s="95"/>
      <c r="CE352" s="95"/>
      <c r="CF352" s="95"/>
      <c r="CG352" s="95"/>
      <c r="CH352" s="95"/>
      <c r="CI352" s="95"/>
      <c r="CJ352" s="95"/>
      <c r="CK352" s="95"/>
      <c r="CL352" s="95"/>
      <c r="CM352" s="95"/>
      <c r="CN352" s="95"/>
      <c r="CO352" s="95"/>
      <c r="CP352" s="95"/>
      <c r="CQ352" s="95"/>
      <c r="CR352" s="95"/>
      <c r="CS352" s="95"/>
      <c r="CT352" s="95"/>
      <c r="CU352" s="95"/>
      <c r="CV352" s="95"/>
      <c r="CW352" s="95"/>
      <c r="CX352" s="95"/>
      <c r="CY352" s="95"/>
      <c r="CZ352" s="95"/>
      <c r="DA352" s="95"/>
      <c r="DB352" s="95"/>
      <c r="DC352" s="95"/>
      <c r="DD352" s="95"/>
      <c r="DE352" s="95"/>
      <c r="DF352" s="95"/>
      <c r="DG352" s="95"/>
      <c r="DH352" s="95"/>
      <c r="DI352" s="95"/>
      <c r="DJ352" s="95"/>
      <c r="DK352" s="95"/>
      <c r="DL352" s="95"/>
      <c r="DM352" s="95"/>
      <c r="DN352" s="95"/>
      <c r="DO352" s="95"/>
      <c r="DP352" s="95"/>
      <c r="DQ352" s="95"/>
      <c r="DR352" s="95"/>
      <c r="DS352" s="95"/>
      <c r="DT352" s="95"/>
      <c r="DU352" s="95"/>
      <c r="DV352" s="95"/>
      <c r="DW352" s="95"/>
      <c r="DX352" s="95"/>
      <c r="DY352" s="95"/>
      <c r="DZ352" s="95"/>
      <c r="EA352" s="95"/>
      <c r="EB352" s="95"/>
      <c r="EC352" s="95"/>
      <c r="ED352" s="95"/>
      <c r="EE352" s="95"/>
      <c r="EF352" s="95"/>
      <c r="EG352" s="95"/>
      <c r="EH352" s="95"/>
      <c r="EI352" s="95"/>
      <c r="EJ352" s="95"/>
      <c r="EK352" s="95"/>
      <c r="EL352" s="95"/>
      <c r="EM352" s="95"/>
      <c r="EN352" s="95"/>
      <c r="EO352" s="95"/>
      <c r="EP352" s="95"/>
      <c r="EQ352" s="95"/>
      <c r="ER352" s="95"/>
      <c r="ES352" s="95"/>
      <c r="ET352" s="95"/>
      <c r="EU352" s="95"/>
      <c r="EV352" s="95"/>
      <c r="EW352" s="95"/>
      <c r="EX352" s="95"/>
      <c r="EY352" s="95"/>
      <c r="EZ352" s="95"/>
      <c r="FA352" s="95"/>
      <c r="FB352" s="95"/>
      <c r="FC352" s="95"/>
      <c r="FD352" s="95"/>
      <c r="FE352" s="95"/>
      <c r="FF352" s="95"/>
      <c r="FG352" s="95"/>
      <c r="FH352" s="95"/>
      <c r="FI352" s="95"/>
      <c r="FJ352" s="95"/>
      <c r="FK352" s="95"/>
      <c r="FL352" s="95"/>
      <c r="FM352" s="95"/>
      <c r="FN352" s="95"/>
      <c r="FO352" s="95"/>
      <c r="FP352" s="95"/>
      <c r="FQ352" s="95"/>
      <c r="FR352" s="95"/>
      <c r="FS352" s="95"/>
      <c r="FT352" s="95"/>
      <c r="FU352" s="95"/>
      <c r="FV352" s="95"/>
      <c r="FW352" s="95"/>
      <c r="FX352" s="95"/>
      <c r="FY352" s="95"/>
      <c r="FZ352" s="95"/>
      <c r="GA352" s="95"/>
      <c r="GB352" s="95"/>
      <c r="GC352" s="95"/>
      <c r="GD352" s="95"/>
      <c r="GE352" s="95"/>
      <c r="GF352" s="95"/>
      <c r="GG352" s="95"/>
      <c r="GH352" s="95"/>
      <c r="GI352" s="95"/>
      <c r="GJ352" s="95"/>
      <c r="GK352" s="95"/>
      <c r="GL352" s="95"/>
      <c r="GM352" s="95"/>
      <c r="GN352" s="95"/>
      <c r="GO352" s="95"/>
      <c r="GP352" s="95"/>
      <c r="GQ352" s="95"/>
      <c r="GR352" s="95"/>
      <c r="GS352" s="95"/>
      <c r="GT352" s="95"/>
      <c r="GU352" s="95"/>
      <c r="GV352" s="95"/>
      <c r="GW352" s="95"/>
      <c r="GX352" s="95"/>
      <c r="GY352" s="95"/>
    </row>
    <row r="353" spans="1:207" s="31" customFormat="1" ht="42.75" x14ac:dyDescent="0.45">
      <c r="A353" s="31" t="s">
        <v>63</v>
      </c>
      <c r="B353" s="31" t="s">
        <v>74</v>
      </c>
      <c r="C353" s="32" t="s">
        <v>66</v>
      </c>
      <c r="D353" s="31" t="s">
        <v>32</v>
      </c>
      <c r="E353" s="50">
        <v>0.10688278444756105</v>
      </c>
      <c r="F353" s="50">
        <v>0.10657597736240189</v>
      </c>
      <c r="G353" s="50">
        <v>0.10719136308296867</v>
      </c>
      <c r="H353" s="32" t="s">
        <v>65</v>
      </c>
      <c r="I353" s="31" t="s">
        <v>34</v>
      </c>
      <c r="J353" s="32" t="s">
        <v>41</v>
      </c>
      <c r="K353" s="31" t="s">
        <v>34</v>
      </c>
      <c r="L353" s="32" t="s">
        <v>64</v>
      </c>
      <c r="M353" s="31" t="s">
        <v>32</v>
      </c>
      <c r="N353" s="32"/>
      <c r="O353" s="110"/>
      <c r="P353" s="108"/>
      <c r="Q353" s="34"/>
      <c r="R353" s="98" t="s">
        <v>212</v>
      </c>
      <c r="X353" s="95"/>
      <c r="Y353" s="95"/>
      <c r="Z353" s="95"/>
      <c r="AA353" s="95"/>
      <c r="AB353" s="95"/>
      <c r="AC353" s="95"/>
      <c r="AD353" s="95"/>
      <c r="AE353" s="95"/>
      <c r="AF353" s="95"/>
      <c r="AG353" s="95"/>
      <c r="AH353" s="95"/>
      <c r="AI353" s="95"/>
      <c r="AJ353" s="95"/>
      <c r="AK353" s="95"/>
      <c r="AL353" s="95"/>
      <c r="AM353" s="95"/>
      <c r="AN353" s="95"/>
      <c r="AO353" s="95"/>
      <c r="AP353" s="95"/>
      <c r="AQ353" s="95"/>
      <c r="AR353" s="95"/>
      <c r="AS353" s="95"/>
      <c r="AT353" s="95"/>
      <c r="AU353" s="95"/>
      <c r="AV353" s="95"/>
      <c r="AW353" s="95"/>
      <c r="AX353" s="95"/>
      <c r="AY353" s="95"/>
      <c r="AZ353" s="95"/>
      <c r="BA353" s="95"/>
      <c r="BB353" s="95"/>
      <c r="BC353" s="95"/>
      <c r="BD353" s="95"/>
      <c r="BE353" s="95"/>
      <c r="BF353" s="95"/>
      <c r="BG353" s="95"/>
      <c r="BH353" s="95"/>
      <c r="BI353" s="95"/>
      <c r="BJ353" s="95"/>
      <c r="BK353" s="95"/>
      <c r="BL353" s="95"/>
      <c r="BM353" s="95"/>
      <c r="BN353" s="95"/>
      <c r="BO353" s="95"/>
      <c r="BP353" s="95"/>
      <c r="BQ353" s="95"/>
      <c r="BR353" s="95"/>
      <c r="BS353" s="95"/>
      <c r="BT353" s="95"/>
      <c r="BU353" s="95"/>
      <c r="BV353" s="95"/>
      <c r="BW353" s="95"/>
      <c r="BX353" s="95"/>
      <c r="BY353" s="95"/>
      <c r="BZ353" s="95"/>
      <c r="CA353" s="95"/>
      <c r="CB353" s="95"/>
      <c r="CC353" s="95"/>
      <c r="CD353" s="95"/>
      <c r="CE353" s="95"/>
      <c r="CF353" s="95"/>
      <c r="CG353" s="95"/>
      <c r="CH353" s="95"/>
      <c r="CI353" s="95"/>
      <c r="CJ353" s="95"/>
      <c r="CK353" s="95"/>
      <c r="CL353" s="95"/>
      <c r="CM353" s="95"/>
      <c r="CN353" s="95"/>
      <c r="CO353" s="95"/>
      <c r="CP353" s="95"/>
      <c r="CQ353" s="95"/>
      <c r="CR353" s="95"/>
      <c r="CS353" s="95"/>
      <c r="CT353" s="95"/>
      <c r="CU353" s="95"/>
      <c r="CV353" s="95"/>
      <c r="CW353" s="95"/>
      <c r="CX353" s="95"/>
      <c r="CY353" s="95"/>
      <c r="CZ353" s="95"/>
      <c r="DA353" s="95"/>
      <c r="DB353" s="95"/>
      <c r="DC353" s="95"/>
      <c r="DD353" s="95"/>
      <c r="DE353" s="95"/>
      <c r="DF353" s="95"/>
      <c r="DG353" s="95"/>
      <c r="DH353" s="95"/>
      <c r="DI353" s="95"/>
      <c r="DJ353" s="95"/>
      <c r="DK353" s="95"/>
      <c r="DL353" s="95"/>
      <c r="DM353" s="95"/>
      <c r="DN353" s="95"/>
      <c r="DO353" s="95"/>
      <c r="DP353" s="95"/>
      <c r="DQ353" s="95"/>
      <c r="DR353" s="95"/>
      <c r="DS353" s="95"/>
      <c r="DT353" s="95"/>
      <c r="DU353" s="95"/>
      <c r="DV353" s="95"/>
      <c r="DW353" s="95"/>
      <c r="DX353" s="95"/>
      <c r="DY353" s="95"/>
      <c r="DZ353" s="95"/>
      <c r="EA353" s="95"/>
      <c r="EB353" s="95"/>
      <c r="EC353" s="95"/>
      <c r="ED353" s="95"/>
      <c r="EE353" s="95"/>
      <c r="EF353" s="95"/>
      <c r="EG353" s="95"/>
      <c r="EH353" s="95"/>
      <c r="EI353" s="95"/>
      <c r="EJ353" s="95"/>
      <c r="EK353" s="95"/>
      <c r="EL353" s="95"/>
      <c r="EM353" s="95"/>
      <c r="EN353" s="95"/>
      <c r="EO353" s="95"/>
      <c r="EP353" s="95"/>
      <c r="EQ353" s="95"/>
      <c r="ER353" s="95"/>
      <c r="ES353" s="95"/>
      <c r="ET353" s="95"/>
      <c r="EU353" s="95"/>
      <c r="EV353" s="95"/>
      <c r="EW353" s="95"/>
      <c r="EX353" s="95"/>
      <c r="EY353" s="95"/>
      <c r="EZ353" s="95"/>
      <c r="FA353" s="95"/>
      <c r="FB353" s="95"/>
      <c r="FC353" s="95"/>
      <c r="FD353" s="95"/>
      <c r="FE353" s="95"/>
      <c r="FF353" s="95"/>
      <c r="FG353" s="95"/>
      <c r="FH353" s="95"/>
      <c r="FI353" s="95"/>
      <c r="FJ353" s="95"/>
      <c r="FK353" s="95"/>
      <c r="FL353" s="95"/>
      <c r="FM353" s="95"/>
      <c r="FN353" s="95"/>
      <c r="FO353" s="95"/>
      <c r="FP353" s="95"/>
      <c r="FQ353" s="95"/>
      <c r="FR353" s="95"/>
      <c r="FS353" s="95"/>
      <c r="FT353" s="95"/>
      <c r="FU353" s="95"/>
      <c r="FV353" s="95"/>
      <c r="FW353" s="95"/>
      <c r="FX353" s="95"/>
      <c r="FY353" s="95"/>
      <c r="FZ353" s="95"/>
      <c r="GA353" s="95"/>
      <c r="GB353" s="95"/>
      <c r="GC353" s="95"/>
      <c r="GD353" s="95"/>
      <c r="GE353" s="95"/>
      <c r="GF353" s="95"/>
      <c r="GG353" s="95"/>
      <c r="GH353" s="95"/>
      <c r="GI353" s="95"/>
      <c r="GJ353" s="95"/>
      <c r="GK353" s="95"/>
      <c r="GL353" s="95"/>
      <c r="GM353" s="95"/>
      <c r="GN353" s="95"/>
      <c r="GO353" s="95"/>
      <c r="GP353" s="95"/>
      <c r="GQ353" s="95"/>
      <c r="GR353" s="95"/>
      <c r="GS353" s="95"/>
      <c r="GT353" s="95"/>
      <c r="GU353" s="95"/>
      <c r="GV353" s="95"/>
      <c r="GW353" s="95"/>
      <c r="GX353" s="95"/>
      <c r="GY353" s="95"/>
    </row>
    <row r="354" spans="1:207" x14ac:dyDescent="0.45">
      <c r="A354" t="s">
        <v>63</v>
      </c>
      <c r="B354" t="s">
        <v>74</v>
      </c>
      <c r="C354" s="2" t="s">
        <v>66</v>
      </c>
      <c r="D354" t="s">
        <v>32</v>
      </c>
      <c r="E354" s="18">
        <v>0</v>
      </c>
      <c r="F354" s="18">
        <v>0</v>
      </c>
      <c r="G354" s="18">
        <v>0</v>
      </c>
      <c r="H354" s="2" t="s">
        <v>65</v>
      </c>
      <c r="I354" t="s">
        <v>32</v>
      </c>
      <c r="J354" s="2" t="s">
        <v>41</v>
      </c>
      <c r="K354" t="s">
        <v>32</v>
      </c>
      <c r="L354" s="2" t="s">
        <v>64</v>
      </c>
      <c r="M354" t="s">
        <v>34</v>
      </c>
      <c r="N354" s="2"/>
      <c r="O354" s="109"/>
      <c r="P354" s="107"/>
      <c r="Q354" s="4"/>
      <c r="R354" s="97"/>
    </row>
    <row r="355" spans="1:207" x14ac:dyDescent="0.45">
      <c r="A355" t="s">
        <v>63</v>
      </c>
      <c r="B355" t="s">
        <v>74</v>
      </c>
      <c r="C355" s="2" t="s">
        <v>66</v>
      </c>
      <c r="D355" t="s">
        <v>32</v>
      </c>
      <c r="E355" s="18">
        <v>0</v>
      </c>
      <c r="F355" s="18">
        <v>0</v>
      </c>
      <c r="G355" s="18">
        <v>0</v>
      </c>
      <c r="H355" s="2" t="s">
        <v>65</v>
      </c>
      <c r="I355" t="s">
        <v>34</v>
      </c>
      <c r="J355" s="2" t="s">
        <v>41</v>
      </c>
      <c r="K355" t="s">
        <v>32</v>
      </c>
      <c r="L355" s="2" t="s">
        <v>64</v>
      </c>
      <c r="M355" t="s">
        <v>34</v>
      </c>
      <c r="N355" s="2"/>
      <c r="O355" s="109"/>
      <c r="P355" s="107"/>
      <c r="Q355" s="4"/>
      <c r="R355" s="97"/>
    </row>
    <row r="356" spans="1:207" x14ac:dyDescent="0.45">
      <c r="A356" t="s">
        <v>63</v>
      </c>
      <c r="B356" t="s">
        <v>74</v>
      </c>
      <c r="C356" s="2" t="s">
        <v>66</v>
      </c>
      <c r="D356" t="s">
        <v>32</v>
      </c>
      <c r="E356" s="18">
        <v>0</v>
      </c>
      <c r="F356" s="18">
        <v>0</v>
      </c>
      <c r="G356" s="18">
        <v>0</v>
      </c>
      <c r="H356" s="2" t="s">
        <v>65</v>
      </c>
      <c r="I356" t="s">
        <v>32</v>
      </c>
      <c r="J356" s="2" t="s">
        <v>41</v>
      </c>
      <c r="K356" t="s">
        <v>34</v>
      </c>
      <c r="L356" s="2" t="s">
        <v>64</v>
      </c>
      <c r="M356" t="s">
        <v>34</v>
      </c>
      <c r="N356" s="2"/>
      <c r="O356" s="109"/>
      <c r="P356" s="107"/>
      <c r="Q356" s="4"/>
      <c r="R356" s="97"/>
    </row>
    <row r="357" spans="1:207" ht="14.65" thickBot="1" x14ac:dyDescent="0.5">
      <c r="A357" s="5" t="s">
        <v>63</v>
      </c>
      <c r="B357" s="5" t="s">
        <v>74</v>
      </c>
      <c r="C357" s="6" t="s">
        <v>66</v>
      </c>
      <c r="D357" s="5" t="s">
        <v>32</v>
      </c>
      <c r="E357" s="24">
        <v>0</v>
      </c>
      <c r="F357" s="24">
        <v>0</v>
      </c>
      <c r="G357" s="24">
        <v>0</v>
      </c>
      <c r="H357" s="6" t="s">
        <v>65</v>
      </c>
      <c r="I357" s="5" t="s">
        <v>34</v>
      </c>
      <c r="J357" s="6" t="s">
        <v>41</v>
      </c>
      <c r="K357" s="5" t="s">
        <v>34</v>
      </c>
      <c r="L357" s="6" t="s">
        <v>64</v>
      </c>
      <c r="M357" s="5" t="s">
        <v>34</v>
      </c>
      <c r="N357" s="6"/>
      <c r="O357" s="117"/>
      <c r="P357" s="113"/>
      <c r="Q357" s="7"/>
      <c r="R357" s="106"/>
    </row>
  </sheetData>
  <autoFilter ref="A1:R357" xr:uid="{00000000-0001-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zoomScale="60" zoomScaleNormal="60" workbookViewId="0">
      <selection activeCell="F10" sqref="F10"/>
    </sheetView>
  </sheetViews>
  <sheetFormatPr defaultColWidth="8.796875" defaultRowHeight="14.25" x14ac:dyDescent="0.45"/>
  <cols>
    <col min="1" max="1" width="23" customWidth="1"/>
    <col min="2" max="2" width="30.1328125" customWidth="1"/>
    <col min="3" max="3" width="26.1328125" customWidth="1"/>
    <col min="4" max="4" width="8.1328125" customWidth="1"/>
    <col min="5" max="5" width="15.796875" bestFit="1" customWidth="1"/>
    <col min="6" max="6" width="76.1328125" customWidth="1"/>
    <col min="7" max="7" width="38.796875" customWidth="1"/>
    <col min="8" max="8" width="73.265625" customWidth="1"/>
  </cols>
  <sheetData>
    <row r="1" spans="1:6" ht="14.65" thickBot="1" x14ac:dyDescent="0.5">
      <c r="A1" s="1" t="s">
        <v>0</v>
      </c>
      <c r="B1" s="1" t="s">
        <v>67</v>
      </c>
      <c r="C1" s="1" t="s">
        <v>1</v>
      </c>
      <c r="D1" s="1" t="s">
        <v>2</v>
      </c>
      <c r="E1" s="1" t="s">
        <v>68</v>
      </c>
      <c r="F1" s="42" t="s">
        <v>91</v>
      </c>
    </row>
    <row r="2" spans="1:6" x14ac:dyDescent="0.45">
      <c r="A2" t="s">
        <v>16</v>
      </c>
      <c r="B2" s="76" t="s">
        <v>69</v>
      </c>
      <c r="C2" s="8" t="s">
        <v>31</v>
      </c>
      <c r="D2" s="4" t="s">
        <v>32</v>
      </c>
      <c r="E2" s="77"/>
      <c r="F2" s="4" t="s">
        <v>122</v>
      </c>
    </row>
    <row r="3" spans="1:6" x14ac:dyDescent="0.45">
      <c r="A3" t="s">
        <v>16</v>
      </c>
      <c r="B3" s="40" t="s">
        <v>69</v>
      </c>
      <c r="C3" s="8" t="s">
        <v>33</v>
      </c>
      <c r="D3" s="4" t="s">
        <v>32</v>
      </c>
      <c r="E3" s="78">
        <f>AVERAGE(0.32,0.32+0.4)</f>
        <v>0.52</v>
      </c>
      <c r="F3" s="4" t="s">
        <v>87</v>
      </c>
    </row>
    <row r="4" spans="1:6" x14ac:dyDescent="0.45">
      <c r="A4" t="s">
        <v>16</v>
      </c>
      <c r="B4" s="40" t="s">
        <v>69</v>
      </c>
      <c r="C4" s="8" t="s">
        <v>35</v>
      </c>
      <c r="D4" s="4" t="s">
        <v>36</v>
      </c>
      <c r="E4" s="79"/>
      <c r="F4" s="4" t="s">
        <v>122</v>
      </c>
    </row>
    <row r="5" spans="1:6" x14ac:dyDescent="0.45">
      <c r="A5" t="s">
        <v>16</v>
      </c>
      <c r="B5" s="40" t="s">
        <v>69</v>
      </c>
      <c r="C5" s="8" t="s">
        <v>35</v>
      </c>
      <c r="D5" s="4" t="s">
        <v>37</v>
      </c>
      <c r="E5" s="39"/>
      <c r="F5" s="4" t="s">
        <v>122</v>
      </c>
    </row>
    <row r="6" spans="1:6" x14ac:dyDescent="0.45">
      <c r="A6" t="s">
        <v>16</v>
      </c>
      <c r="B6" s="40" t="s">
        <v>69</v>
      </c>
      <c r="C6" s="8" t="s">
        <v>35</v>
      </c>
      <c r="D6" s="4" t="s">
        <v>38</v>
      </c>
      <c r="E6" s="39"/>
      <c r="F6" s="4" t="s">
        <v>122</v>
      </c>
    </row>
    <row r="7" spans="1:6" x14ac:dyDescent="0.45">
      <c r="A7" t="s">
        <v>16</v>
      </c>
      <c r="B7" s="40" t="s">
        <v>69</v>
      </c>
      <c r="C7" s="8" t="s">
        <v>39</v>
      </c>
      <c r="D7" s="4" t="s">
        <v>32</v>
      </c>
      <c r="E7" s="37">
        <f>13%+1/31.3*13%</f>
        <v>0.13415335463258787</v>
      </c>
      <c r="F7" s="56" t="s">
        <v>138</v>
      </c>
    </row>
    <row r="8" spans="1:6" x14ac:dyDescent="0.45">
      <c r="A8" t="s">
        <v>16</v>
      </c>
      <c r="B8" s="40" t="s">
        <v>69</v>
      </c>
      <c r="C8" s="8" t="s">
        <v>40</v>
      </c>
      <c r="D8" s="4" t="s">
        <v>32</v>
      </c>
      <c r="E8" s="37">
        <f>68%*(52%+19%)</f>
        <v>0.48280000000000001</v>
      </c>
      <c r="F8" s="56" t="s">
        <v>139</v>
      </c>
    </row>
    <row r="9" spans="1:6" x14ac:dyDescent="0.45">
      <c r="A9" t="s">
        <v>16</v>
      </c>
      <c r="B9" s="40" t="s">
        <v>69</v>
      </c>
      <c r="C9" s="8" t="s">
        <v>41</v>
      </c>
      <c r="D9" s="4" t="s">
        <v>32</v>
      </c>
      <c r="E9" s="37">
        <f>33%*50%</f>
        <v>0.16500000000000001</v>
      </c>
      <c r="F9" s="56" t="s">
        <v>140</v>
      </c>
    </row>
    <row r="10" spans="1:6" x14ac:dyDescent="0.45">
      <c r="A10" t="s">
        <v>16</v>
      </c>
      <c r="B10" s="40" t="s">
        <v>69</v>
      </c>
      <c r="C10" s="8" t="s">
        <v>42</v>
      </c>
      <c r="D10" s="4" t="s">
        <v>32</v>
      </c>
      <c r="E10" s="80">
        <f>71/population_size!B2</f>
        <v>5.82767421687456E-2</v>
      </c>
      <c r="F10" s="4" t="s">
        <v>141</v>
      </c>
    </row>
    <row r="11" spans="1:6" x14ac:dyDescent="0.45">
      <c r="A11" t="s">
        <v>16</v>
      </c>
      <c r="B11" s="40" t="s">
        <v>69</v>
      </c>
      <c r="C11" s="8" t="s">
        <v>43</v>
      </c>
      <c r="D11" s="4" t="s">
        <v>32</v>
      </c>
      <c r="E11" s="81">
        <f>(29*12/21)/population_size!B2</f>
        <v>1.3601815073590524E-2</v>
      </c>
      <c r="F11" s="56" t="s">
        <v>142</v>
      </c>
    </row>
    <row r="12" spans="1:6" x14ac:dyDescent="0.45">
      <c r="A12" t="s">
        <v>44</v>
      </c>
      <c r="B12" s="40" t="s">
        <v>70</v>
      </c>
      <c r="C12" s="8" t="s">
        <v>31</v>
      </c>
      <c r="D12" s="4" t="s">
        <v>32</v>
      </c>
      <c r="E12" s="39"/>
      <c r="F12" s="4" t="s">
        <v>122</v>
      </c>
    </row>
    <row r="13" spans="1:6" x14ac:dyDescent="0.45">
      <c r="A13" t="s">
        <v>44</v>
      </c>
      <c r="B13" s="40" t="s">
        <v>70</v>
      </c>
      <c r="C13" s="8" t="s">
        <v>33</v>
      </c>
      <c r="D13" s="4" t="s">
        <v>32</v>
      </c>
      <c r="E13" s="82">
        <f>AVERAGE(0.32,0.32+0.4)</f>
        <v>0.52</v>
      </c>
      <c r="F13" s="56" t="s">
        <v>87</v>
      </c>
    </row>
    <row r="14" spans="1:6" x14ac:dyDescent="0.45">
      <c r="A14" t="s">
        <v>44</v>
      </c>
      <c r="B14" s="40" t="s">
        <v>70</v>
      </c>
      <c r="C14" s="8" t="s">
        <v>35</v>
      </c>
      <c r="D14" s="4" t="s">
        <v>36</v>
      </c>
      <c r="E14" s="39"/>
      <c r="F14" s="4" t="s">
        <v>122</v>
      </c>
    </row>
    <row r="15" spans="1:6" x14ac:dyDescent="0.45">
      <c r="A15" t="s">
        <v>44</v>
      </c>
      <c r="B15" s="40" t="s">
        <v>70</v>
      </c>
      <c r="C15" s="8" t="s">
        <v>35</v>
      </c>
      <c r="D15" s="4" t="s">
        <v>37</v>
      </c>
      <c r="E15" s="39"/>
      <c r="F15" s="4" t="s">
        <v>122</v>
      </c>
    </row>
    <row r="16" spans="1:6" x14ac:dyDescent="0.45">
      <c r="A16" t="s">
        <v>44</v>
      </c>
      <c r="B16" s="40" t="s">
        <v>70</v>
      </c>
      <c r="C16" s="8" t="s">
        <v>35</v>
      </c>
      <c r="D16" s="4" t="s">
        <v>38</v>
      </c>
      <c r="E16" s="39"/>
      <c r="F16" s="4" t="s">
        <v>122</v>
      </c>
    </row>
    <row r="17" spans="1:6" x14ac:dyDescent="0.45">
      <c r="A17" t="s">
        <v>44</v>
      </c>
      <c r="B17" s="40" t="s">
        <v>70</v>
      </c>
      <c r="C17" s="8" t="s">
        <v>45</v>
      </c>
      <c r="D17" s="4" t="s">
        <v>32</v>
      </c>
      <c r="E17" s="37">
        <f>0.17-0.13</f>
        <v>4.0000000000000008E-2</v>
      </c>
      <c r="F17" s="56" t="s">
        <v>143</v>
      </c>
    </row>
    <row r="18" spans="1:6" x14ac:dyDescent="0.45">
      <c r="A18" t="s">
        <v>44</v>
      </c>
      <c r="B18" s="40" t="s">
        <v>70</v>
      </c>
      <c r="C18" s="8" t="s">
        <v>40</v>
      </c>
      <c r="D18" s="4" t="s">
        <v>32</v>
      </c>
      <c r="E18" s="37">
        <f>(E8*700+0*300)/1000</f>
        <v>0.33795999999999998</v>
      </c>
      <c r="F18" s="56" t="s">
        <v>92</v>
      </c>
    </row>
    <row r="19" spans="1:6" x14ac:dyDescent="0.45">
      <c r="A19" t="s">
        <v>44</v>
      </c>
      <c r="B19" s="40" t="s">
        <v>70</v>
      </c>
      <c r="C19" s="8" t="s">
        <v>41</v>
      </c>
      <c r="D19" s="4" t="s">
        <v>32</v>
      </c>
      <c r="E19" s="39"/>
      <c r="F19" s="4" t="s">
        <v>122</v>
      </c>
    </row>
    <row r="20" spans="1:6" x14ac:dyDescent="0.45">
      <c r="A20" t="s">
        <v>44</v>
      </c>
      <c r="B20" s="40" t="s">
        <v>70</v>
      </c>
      <c r="C20" s="8" t="s">
        <v>46</v>
      </c>
      <c r="D20" s="4" t="s">
        <v>32</v>
      </c>
      <c r="E20" s="83">
        <f>84/(population_size!B3+4400)</f>
        <v>1.5447332023915102E-2</v>
      </c>
      <c r="F20" s="4" t="s">
        <v>112</v>
      </c>
    </row>
    <row r="21" spans="1:6" x14ac:dyDescent="0.45">
      <c r="A21" t="s">
        <v>44</v>
      </c>
      <c r="B21" s="40" t="s">
        <v>70</v>
      </c>
      <c r="C21" s="8" t="s">
        <v>47</v>
      </c>
      <c r="D21" s="4" t="s">
        <v>32</v>
      </c>
      <c r="E21" s="81">
        <f>(1.9/100000*466416)/(population_size!B3+4400)</f>
        <v>1.6296758744293015E-3</v>
      </c>
      <c r="F21" s="56" t="s">
        <v>144</v>
      </c>
    </row>
    <row r="22" spans="1:6" x14ac:dyDescent="0.45">
      <c r="A22" t="s">
        <v>48</v>
      </c>
      <c r="B22" s="40" t="s">
        <v>71</v>
      </c>
      <c r="C22" s="8" t="s">
        <v>35</v>
      </c>
      <c r="D22" s="4" t="s">
        <v>36</v>
      </c>
      <c r="E22" s="39"/>
      <c r="F22" s="4" t="s">
        <v>122</v>
      </c>
    </row>
    <row r="23" spans="1:6" x14ac:dyDescent="0.45">
      <c r="A23" t="s">
        <v>48</v>
      </c>
      <c r="B23" s="40" t="s">
        <v>71</v>
      </c>
      <c r="C23" s="8" t="s">
        <v>35</v>
      </c>
      <c r="D23" s="4" t="s">
        <v>37</v>
      </c>
      <c r="E23" s="39"/>
      <c r="F23" s="4" t="s">
        <v>122</v>
      </c>
    </row>
    <row r="24" spans="1:6" x14ac:dyDescent="0.45">
      <c r="A24" t="s">
        <v>48</v>
      </c>
      <c r="B24" s="40" t="s">
        <v>71</v>
      </c>
      <c r="C24" s="8" t="s">
        <v>35</v>
      </c>
      <c r="D24" s="4" t="s">
        <v>38</v>
      </c>
      <c r="E24" s="39"/>
      <c r="F24" s="4" t="s">
        <v>122</v>
      </c>
    </row>
    <row r="25" spans="1:6" x14ac:dyDescent="0.45">
      <c r="A25" t="s">
        <v>48</v>
      </c>
      <c r="B25" s="40" t="s">
        <v>71</v>
      </c>
      <c r="C25" s="8" t="s">
        <v>51</v>
      </c>
      <c r="D25" s="4" t="s">
        <v>32</v>
      </c>
      <c r="E25" s="37">
        <v>0.26</v>
      </c>
      <c r="F25" s="56" t="s">
        <v>145</v>
      </c>
    </row>
    <row r="26" spans="1:6" x14ac:dyDescent="0.45">
      <c r="A26" t="s">
        <v>48</v>
      </c>
      <c r="B26" s="40" t="s">
        <v>71</v>
      </c>
      <c r="C26" s="8" t="s">
        <v>52</v>
      </c>
      <c r="D26" s="4" t="s">
        <v>32</v>
      </c>
      <c r="E26" s="37">
        <v>0.28000000000000003</v>
      </c>
      <c r="F26" s="56" t="s">
        <v>93</v>
      </c>
    </row>
    <row r="27" spans="1:6" x14ac:dyDescent="0.45">
      <c r="A27" t="s">
        <v>48</v>
      </c>
      <c r="B27" s="40" t="s">
        <v>71</v>
      </c>
      <c r="C27" s="8" t="s">
        <v>53</v>
      </c>
      <c r="D27" s="4" t="s">
        <v>18</v>
      </c>
      <c r="E27" s="37">
        <f>1-E29</f>
        <v>0.95730000000000004</v>
      </c>
      <c r="F27" s="56"/>
    </row>
    <row r="28" spans="1:6" x14ac:dyDescent="0.45">
      <c r="A28" t="s">
        <v>48</v>
      </c>
      <c r="B28" s="40" t="s">
        <v>71</v>
      </c>
      <c r="C28" s="8" t="s">
        <v>53</v>
      </c>
      <c r="D28" s="4" t="s">
        <v>54</v>
      </c>
      <c r="E28" s="37">
        <v>0</v>
      </c>
      <c r="F28" s="56" t="s">
        <v>104</v>
      </c>
    </row>
    <row r="29" spans="1:6" x14ac:dyDescent="0.45">
      <c r="A29" t="s">
        <v>48</v>
      </c>
      <c r="B29" s="40" t="s">
        <v>71</v>
      </c>
      <c r="C29" s="8" t="s">
        <v>53</v>
      </c>
      <c r="D29" s="4" t="s">
        <v>55</v>
      </c>
      <c r="E29" s="38">
        <f>42.7/1000</f>
        <v>4.2700000000000002E-2</v>
      </c>
      <c r="F29" s="56" t="s">
        <v>127</v>
      </c>
    </row>
    <row r="30" spans="1:6" x14ac:dyDescent="0.45">
      <c r="A30" t="s">
        <v>48</v>
      </c>
      <c r="B30" s="40" t="s">
        <v>72</v>
      </c>
      <c r="C30" s="8" t="s">
        <v>35</v>
      </c>
      <c r="D30" s="4" t="s">
        <v>36</v>
      </c>
      <c r="E30" s="39"/>
      <c r="F30" s="4" t="s">
        <v>122</v>
      </c>
    </row>
    <row r="31" spans="1:6" x14ac:dyDescent="0.45">
      <c r="A31" t="s">
        <v>48</v>
      </c>
      <c r="B31" s="40" t="s">
        <v>72</v>
      </c>
      <c r="C31" s="8" t="s">
        <v>35</v>
      </c>
      <c r="D31" s="4" t="s">
        <v>37</v>
      </c>
      <c r="E31" s="39"/>
      <c r="F31" s="4" t="s">
        <v>122</v>
      </c>
    </row>
    <row r="32" spans="1:6" x14ac:dyDescent="0.45">
      <c r="A32" t="s">
        <v>48</v>
      </c>
      <c r="B32" s="40" t="s">
        <v>72</v>
      </c>
      <c r="C32" s="8" t="s">
        <v>35</v>
      </c>
      <c r="D32" s="4" t="s">
        <v>38</v>
      </c>
      <c r="E32" s="39"/>
      <c r="F32" s="4" t="s">
        <v>122</v>
      </c>
    </row>
    <row r="33" spans="1:6" x14ac:dyDescent="0.45">
      <c r="A33" t="s">
        <v>48</v>
      </c>
      <c r="B33" s="40" t="s">
        <v>72</v>
      </c>
      <c r="C33" s="8" t="s">
        <v>56</v>
      </c>
      <c r="D33" s="4" t="s">
        <v>32</v>
      </c>
      <c r="E33" s="38">
        <v>5.3999999999999999E-2</v>
      </c>
      <c r="F33" s="56" t="s">
        <v>94</v>
      </c>
    </row>
    <row r="34" spans="1:6" x14ac:dyDescent="0.45">
      <c r="A34" t="s">
        <v>48</v>
      </c>
      <c r="B34" s="40" t="s">
        <v>72</v>
      </c>
      <c r="C34" s="8" t="s">
        <v>57</v>
      </c>
      <c r="D34" s="4" t="s">
        <v>18</v>
      </c>
      <c r="E34" s="40">
        <f>1-E35</f>
        <v>0.48</v>
      </c>
      <c r="F34" s="56"/>
    </row>
    <row r="35" spans="1:6" x14ac:dyDescent="0.45">
      <c r="A35" t="s">
        <v>48</v>
      </c>
      <c r="B35" s="40" t="s">
        <v>72</v>
      </c>
      <c r="C35" s="8" t="s">
        <v>57</v>
      </c>
      <c r="D35" s="4" t="s">
        <v>58</v>
      </c>
      <c r="E35" s="40">
        <f>AVERAGE(0.32,0.72)</f>
        <v>0.52</v>
      </c>
      <c r="F35" s="4" t="s">
        <v>98</v>
      </c>
    </row>
    <row r="36" spans="1:6" x14ac:dyDescent="0.45">
      <c r="A36" t="s">
        <v>59</v>
      </c>
      <c r="B36" s="40" t="s">
        <v>73</v>
      </c>
      <c r="C36" s="8" t="s">
        <v>31</v>
      </c>
      <c r="D36" s="4" t="s">
        <v>32</v>
      </c>
      <c r="E36" s="39"/>
      <c r="F36" s="4" t="s">
        <v>122</v>
      </c>
    </row>
    <row r="37" spans="1:6" x14ac:dyDescent="0.45">
      <c r="A37" t="s">
        <v>59</v>
      </c>
      <c r="B37" s="40" t="s">
        <v>73</v>
      </c>
      <c r="C37" s="8" t="s">
        <v>33</v>
      </c>
      <c r="D37" s="4" t="s">
        <v>32</v>
      </c>
      <c r="E37" s="40">
        <f>AVERAGE(0.32,0.32+0.4)</f>
        <v>0.52</v>
      </c>
      <c r="F37" s="56" t="s">
        <v>87</v>
      </c>
    </row>
    <row r="38" spans="1:6" x14ac:dyDescent="0.45">
      <c r="A38" t="s">
        <v>59</v>
      </c>
      <c r="B38" s="40" t="s">
        <v>73</v>
      </c>
      <c r="C38" s="8" t="s">
        <v>60</v>
      </c>
      <c r="D38" s="4" t="s">
        <v>32</v>
      </c>
      <c r="E38" s="38">
        <v>0.05</v>
      </c>
      <c r="F38" s="56" t="s">
        <v>109</v>
      </c>
    </row>
    <row r="39" spans="1:6" ht="57" x14ac:dyDescent="0.45">
      <c r="A39" t="s">
        <v>59</v>
      </c>
      <c r="B39" s="40" t="s">
        <v>73</v>
      </c>
      <c r="C39" s="8" t="s">
        <v>40</v>
      </c>
      <c r="D39" s="4" t="s">
        <v>32</v>
      </c>
      <c r="E39" s="38">
        <f>20%*(52%+19%)</f>
        <v>0.14199999999999999</v>
      </c>
      <c r="F39" s="73" t="s">
        <v>110</v>
      </c>
    </row>
    <row r="40" spans="1:6" x14ac:dyDescent="0.45">
      <c r="A40" t="s">
        <v>59</v>
      </c>
      <c r="B40" s="40" t="s">
        <v>73</v>
      </c>
      <c r="C40" s="8" t="s">
        <v>41</v>
      </c>
      <c r="D40" s="4" t="s">
        <v>32</v>
      </c>
      <c r="E40" s="39"/>
      <c r="F40" s="4" t="s">
        <v>122</v>
      </c>
    </row>
    <row r="41" spans="1:6" x14ac:dyDescent="0.45">
      <c r="A41" t="s">
        <v>59</v>
      </c>
      <c r="B41" s="40" t="s">
        <v>73</v>
      </c>
      <c r="C41" s="8" t="s">
        <v>61</v>
      </c>
      <c r="D41" s="4" t="s">
        <v>32</v>
      </c>
      <c r="E41" s="39">
        <f>34/population_size!B5</f>
        <v>8.9561308066035336E-3</v>
      </c>
      <c r="F41" s="4" t="s">
        <v>105</v>
      </c>
    </row>
    <row r="42" spans="1:6" x14ac:dyDescent="0.45">
      <c r="A42" t="s">
        <v>59</v>
      </c>
      <c r="B42" s="40" t="s">
        <v>73</v>
      </c>
      <c r="C42" s="8" t="s">
        <v>62</v>
      </c>
      <c r="D42" s="4" t="s">
        <v>32</v>
      </c>
      <c r="E42" s="43">
        <f>'[1]#deaths'!C16</f>
        <v>3.2706766917293228E-3</v>
      </c>
      <c r="F42" s="56" t="s">
        <v>103</v>
      </c>
    </row>
    <row r="43" spans="1:6" x14ac:dyDescent="0.45">
      <c r="A43" t="s">
        <v>63</v>
      </c>
      <c r="B43" s="40" t="s">
        <v>74</v>
      </c>
      <c r="C43" s="8" t="s">
        <v>31</v>
      </c>
      <c r="D43" s="4" t="s">
        <v>32</v>
      </c>
      <c r="E43" s="39"/>
      <c r="F43" s="4" t="s">
        <v>122</v>
      </c>
    </row>
    <row r="44" spans="1:6" x14ac:dyDescent="0.45">
      <c r="A44" t="s">
        <v>63</v>
      </c>
      <c r="B44" s="40" t="s">
        <v>74</v>
      </c>
      <c r="C44" s="8" t="s">
        <v>33</v>
      </c>
      <c r="D44" s="4" t="s">
        <v>32</v>
      </c>
      <c r="E44" s="40">
        <f>AVERAGE(0.32,0.32+0.4)</f>
        <v>0.52</v>
      </c>
      <c r="F44" s="56" t="s">
        <v>87</v>
      </c>
    </row>
    <row r="45" spans="1:6" x14ac:dyDescent="0.45">
      <c r="A45" t="s">
        <v>63</v>
      </c>
      <c r="B45" s="40" t="s">
        <v>74</v>
      </c>
      <c r="C45" s="8" t="s">
        <v>64</v>
      </c>
      <c r="D45" s="4" t="s">
        <v>32</v>
      </c>
      <c r="E45" s="38">
        <v>7.0000000000000007E-2</v>
      </c>
      <c r="F45" s="4" t="s">
        <v>106</v>
      </c>
    </row>
    <row r="46" spans="1:6" x14ac:dyDescent="0.45">
      <c r="A46" t="s">
        <v>63</v>
      </c>
      <c r="B46" s="40" t="s">
        <v>74</v>
      </c>
      <c r="C46" s="8" t="s">
        <v>40</v>
      </c>
      <c r="D46" s="4" t="s">
        <v>32</v>
      </c>
      <c r="E46" s="39"/>
      <c r="F46" s="4" t="s">
        <v>122</v>
      </c>
    </row>
    <row r="47" spans="1:6" x14ac:dyDescent="0.45">
      <c r="A47" t="s">
        <v>63</v>
      </c>
      <c r="B47" s="40" t="s">
        <v>74</v>
      </c>
      <c r="C47" s="8" t="s">
        <v>41</v>
      </c>
      <c r="D47" s="4" t="s">
        <v>32</v>
      </c>
      <c r="E47" s="39"/>
      <c r="F47" s="4" t="s">
        <v>122</v>
      </c>
    </row>
    <row r="48" spans="1:6" ht="57" x14ac:dyDescent="0.45">
      <c r="A48" t="s">
        <v>63</v>
      </c>
      <c r="B48" s="40" t="s">
        <v>74</v>
      </c>
      <c r="C48" s="8" t="s">
        <v>65</v>
      </c>
      <c r="D48" s="4" t="s">
        <v>32</v>
      </c>
      <c r="E48" s="41">
        <f>(84+73)/population_size!B6</f>
        <v>5.2254081306516934E-3</v>
      </c>
      <c r="F48" s="70" t="s">
        <v>146</v>
      </c>
    </row>
    <row r="49" spans="1:6" ht="71.25" x14ac:dyDescent="0.45">
      <c r="A49" s="5" t="s">
        <v>63</v>
      </c>
      <c r="B49" s="84" t="s">
        <v>74</v>
      </c>
      <c r="C49" s="9" t="s">
        <v>66</v>
      </c>
      <c r="D49" s="7" t="s">
        <v>32</v>
      </c>
      <c r="E49" s="35">
        <f>'[1]#deaths'!E16</f>
        <v>4.8701298701298701E-4</v>
      </c>
      <c r="F49" s="85" t="s">
        <v>137</v>
      </c>
    </row>
    <row r="50" spans="1:6" x14ac:dyDescent="0.45">
      <c r="E50" s="36"/>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workbookViewId="0">
      <selection activeCell="C5" sqref="C5"/>
    </sheetView>
  </sheetViews>
  <sheetFormatPr defaultColWidth="8.796875" defaultRowHeight="14.25" x14ac:dyDescent="0.45"/>
  <cols>
    <col min="1" max="1" width="37" customWidth="1"/>
    <col min="2" max="2" width="7.796875" bestFit="1" customWidth="1"/>
    <col min="3" max="3" width="12" bestFit="1" customWidth="1"/>
    <col min="4" max="4" width="11" bestFit="1" customWidth="1"/>
    <col min="5" max="8" width="12" bestFit="1" customWidth="1"/>
  </cols>
  <sheetData>
    <row r="1" spans="1:8" ht="14.65" thickBot="1" x14ac:dyDescent="0.5">
      <c r="A1" s="1" t="s">
        <v>76</v>
      </c>
      <c r="B1" s="1" t="s">
        <v>77</v>
      </c>
      <c r="C1" s="1" t="s">
        <v>78</v>
      </c>
      <c r="D1" s="1" t="s">
        <v>79</v>
      </c>
      <c r="E1" s="1" t="s">
        <v>80</v>
      </c>
      <c r="F1" s="1" t="s">
        <v>81</v>
      </c>
      <c r="G1" s="1" t="s">
        <v>82</v>
      </c>
      <c r="H1" s="1" t="s">
        <v>83</v>
      </c>
    </row>
    <row r="2" spans="1:8" x14ac:dyDescent="0.45">
      <c r="A2" s="4" t="s">
        <v>16</v>
      </c>
      <c r="B2" s="86">
        <v>1218.3247957549352</v>
      </c>
      <c r="C2" s="86">
        <v>1239.0692816858843</v>
      </c>
      <c r="D2" s="86">
        <v>1261.0739761866339</v>
      </c>
      <c r="E2" s="86">
        <v>1284.6641962564056</v>
      </c>
      <c r="F2" s="86">
        <v>1308.1817727244093</v>
      </c>
      <c r="G2" s="86">
        <v>1331.1971608149736</v>
      </c>
      <c r="H2" s="86">
        <v>1353.5587564896266</v>
      </c>
    </row>
    <row r="3" spans="1:8" x14ac:dyDescent="0.45">
      <c r="A3" s="4" t="s">
        <v>44</v>
      </c>
      <c r="B3" s="87">
        <v>1037.8322334208708</v>
      </c>
      <c r="C3" s="87">
        <v>1055.5034621768643</v>
      </c>
      <c r="D3" s="87">
        <v>1074.2482019367621</v>
      </c>
      <c r="E3" s="87">
        <v>1094.3435745887898</v>
      </c>
      <c r="F3" s="87">
        <v>1114.3770656541262</v>
      </c>
      <c r="G3" s="87">
        <v>1133.9827666201627</v>
      </c>
      <c r="H3" s="87">
        <v>1153.0315333059782</v>
      </c>
    </row>
    <row r="4" spans="1:8" x14ac:dyDescent="0.45">
      <c r="A4" s="4" t="s">
        <v>48</v>
      </c>
      <c r="B4" s="87">
        <v>1519.2976627446503</v>
      </c>
      <c r="C4" s="87">
        <v>1545.1668308840058</v>
      </c>
      <c r="D4" s="87">
        <v>1572.6075273558222</v>
      </c>
      <c r="E4" s="87">
        <v>1602.0254349125894</v>
      </c>
      <c r="F4" s="87">
        <v>1631.3527531168588</v>
      </c>
      <c r="G4" s="87">
        <v>1660.0538231886437</v>
      </c>
      <c r="H4" s="87">
        <v>1687.9395890879491</v>
      </c>
    </row>
    <row r="5" spans="1:8" x14ac:dyDescent="0.45">
      <c r="A5" s="4" t="s">
        <v>59</v>
      </c>
      <c r="B5" s="87">
        <v>3796.2822042450657</v>
      </c>
      <c r="C5" s="87">
        <v>3860.9217183141163</v>
      </c>
      <c r="D5" s="87">
        <v>3929.4880238133669</v>
      </c>
      <c r="E5" s="87">
        <v>4002.9948037435952</v>
      </c>
      <c r="F5" s="87">
        <v>4076.2752272755911</v>
      </c>
      <c r="G5" s="87">
        <v>4147.9908391850267</v>
      </c>
      <c r="H5" s="87">
        <v>4217.6692435103732</v>
      </c>
    </row>
    <row r="6" spans="1:8" x14ac:dyDescent="0.45">
      <c r="A6" s="7" t="s">
        <v>63</v>
      </c>
      <c r="B6" s="88">
        <v>30045.500002010282</v>
      </c>
      <c r="C6" s="88">
        <v>30557.08644780187</v>
      </c>
      <c r="D6" s="88">
        <v>31099.751302830806</v>
      </c>
      <c r="E6" s="88">
        <v>31681.517314343808</v>
      </c>
      <c r="F6" s="88">
        <v>32261.491838607544</v>
      </c>
      <c r="G6" s="88">
        <v>32829.081733626321</v>
      </c>
      <c r="H6" s="88">
        <v>33380.548243401674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47AB-2AED-4CBD-821B-7B5F2E76FAEC}">
  <dimension ref="A1:H134"/>
  <sheetViews>
    <sheetView zoomScale="60" zoomScaleNormal="60" workbookViewId="0">
      <selection activeCell="H126" sqref="H126"/>
    </sheetView>
  </sheetViews>
  <sheetFormatPr defaultColWidth="8.796875" defaultRowHeight="14.25" x14ac:dyDescent="0.45"/>
  <cols>
    <col min="1" max="1" width="23" customWidth="1"/>
    <col min="2" max="2" width="30.1328125" customWidth="1"/>
    <col min="3" max="3" width="26" customWidth="1"/>
    <col min="4" max="4" width="12" customWidth="1"/>
    <col min="5" max="7" width="12.46484375" customWidth="1"/>
    <col min="8" max="8" width="57.796875" style="12" customWidth="1"/>
  </cols>
  <sheetData>
    <row r="1" spans="1:8" ht="14.65" thickBot="1" x14ac:dyDescent="0.5">
      <c r="A1" s="16" t="s">
        <v>0</v>
      </c>
      <c r="B1" s="16" t="s">
        <v>67</v>
      </c>
      <c r="C1" s="16" t="s">
        <v>1</v>
      </c>
      <c r="D1" s="16" t="s">
        <v>2</v>
      </c>
      <c r="E1" s="16" t="s">
        <v>119</v>
      </c>
      <c r="F1" s="1" t="s">
        <v>131</v>
      </c>
      <c r="G1" s="1" t="s">
        <v>130</v>
      </c>
      <c r="H1" s="90" t="s">
        <v>84</v>
      </c>
    </row>
    <row r="2" spans="1:8" x14ac:dyDescent="0.45">
      <c r="A2" t="s">
        <v>16</v>
      </c>
      <c r="B2" t="s">
        <v>69</v>
      </c>
      <c r="C2" s="8" t="s">
        <v>17</v>
      </c>
      <c r="D2" s="4" t="s">
        <v>18</v>
      </c>
      <c r="E2" s="92">
        <v>0</v>
      </c>
      <c r="F2" s="92">
        <v>0</v>
      </c>
      <c r="G2" s="28">
        <v>1</v>
      </c>
      <c r="H2" s="70"/>
    </row>
    <row r="3" spans="1:8" ht="28.5" x14ac:dyDescent="0.45">
      <c r="A3" t="s">
        <v>16</v>
      </c>
      <c r="B3" t="s">
        <v>69</v>
      </c>
      <c r="C3" s="8" t="s">
        <v>17</v>
      </c>
      <c r="D3" s="4" t="s">
        <v>19</v>
      </c>
      <c r="E3" s="92">
        <f>AVERAGE(4376.3,32820.8)</f>
        <v>18598.550000000003</v>
      </c>
      <c r="F3" s="92">
        <v>0</v>
      </c>
      <c r="G3" s="28">
        <v>1</v>
      </c>
      <c r="H3" s="70" t="s">
        <v>213</v>
      </c>
    </row>
    <row r="4" spans="1:8" x14ac:dyDescent="0.45">
      <c r="A4" t="s">
        <v>16</v>
      </c>
      <c r="B4" t="s">
        <v>69</v>
      </c>
      <c r="C4" s="8" t="s">
        <v>20</v>
      </c>
      <c r="D4" s="4" t="s">
        <v>18</v>
      </c>
      <c r="E4" s="92">
        <v>0</v>
      </c>
      <c r="F4" s="92">
        <v>0</v>
      </c>
      <c r="G4" s="28">
        <v>0</v>
      </c>
      <c r="H4" s="70"/>
    </row>
    <row r="5" spans="1:8" s="95" customFormat="1" ht="28.5" x14ac:dyDescent="0.45">
      <c r="A5" s="31" t="s">
        <v>16</v>
      </c>
      <c r="B5" s="31" t="s">
        <v>69</v>
      </c>
      <c r="C5" s="61" t="s">
        <v>20</v>
      </c>
      <c r="D5" s="34" t="s">
        <v>21</v>
      </c>
      <c r="E5" s="93">
        <f>383.1*2/5</f>
        <v>153.24</v>
      </c>
      <c r="F5" s="93">
        <v>0</v>
      </c>
      <c r="G5" s="62">
        <v>0</v>
      </c>
      <c r="H5" s="68" t="s">
        <v>223</v>
      </c>
    </row>
    <row r="6" spans="1:8" x14ac:dyDescent="0.45">
      <c r="A6" t="s">
        <v>16</v>
      </c>
      <c r="B6" t="s">
        <v>69</v>
      </c>
      <c r="C6" s="8" t="s">
        <v>22</v>
      </c>
      <c r="D6" s="4" t="s">
        <v>18</v>
      </c>
      <c r="E6" s="92">
        <v>0</v>
      </c>
      <c r="F6" s="92">
        <v>0</v>
      </c>
      <c r="G6" s="28">
        <v>1</v>
      </c>
      <c r="H6" s="70"/>
    </row>
    <row r="7" spans="1:8" ht="28.5" x14ac:dyDescent="0.45">
      <c r="A7" t="s">
        <v>16</v>
      </c>
      <c r="B7" t="s">
        <v>69</v>
      </c>
      <c r="C7" s="8" t="s">
        <v>22</v>
      </c>
      <c r="D7" s="4" t="s">
        <v>23</v>
      </c>
      <c r="E7" s="92">
        <v>5559.7</v>
      </c>
      <c r="F7" s="92">
        <v>0</v>
      </c>
      <c r="G7" s="28">
        <v>1</v>
      </c>
      <c r="H7" s="70" t="s">
        <v>215</v>
      </c>
    </row>
    <row r="8" spans="1:8" x14ac:dyDescent="0.45">
      <c r="A8" t="s">
        <v>16</v>
      </c>
      <c r="B8" t="s">
        <v>69</v>
      </c>
      <c r="C8" s="8" t="s">
        <v>24</v>
      </c>
      <c r="D8" s="4" t="s">
        <v>18</v>
      </c>
      <c r="E8" s="92">
        <v>0</v>
      </c>
      <c r="F8" s="92">
        <v>0</v>
      </c>
      <c r="G8" s="28">
        <v>1</v>
      </c>
      <c r="H8" s="70"/>
    </row>
    <row r="9" spans="1:8" ht="42.75" x14ac:dyDescent="0.45">
      <c r="A9" t="s">
        <v>16</v>
      </c>
      <c r="B9" t="s">
        <v>69</v>
      </c>
      <c r="C9" s="8" t="s">
        <v>24</v>
      </c>
      <c r="D9" s="4" t="s">
        <v>25</v>
      </c>
      <c r="E9" s="92">
        <v>165.2</v>
      </c>
      <c r="F9" s="92">
        <v>0</v>
      </c>
      <c r="G9" s="28">
        <v>1</v>
      </c>
      <c r="H9" s="70" t="s">
        <v>128</v>
      </c>
    </row>
    <row r="10" spans="1:8" x14ac:dyDescent="0.45">
      <c r="A10" t="s">
        <v>16</v>
      </c>
      <c r="B10" t="s">
        <v>69</v>
      </c>
      <c r="C10" s="8" t="s">
        <v>26</v>
      </c>
      <c r="D10" s="4" t="s">
        <v>18</v>
      </c>
      <c r="E10" s="92">
        <v>0</v>
      </c>
      <c r="F10" s="92">
        <v>0</v>
      </c>
      <c r="G10" s="28">
        <v>0</v>
      </c>
      <c r="H10" s="70"/>
    </row>
    <row r="11" spans="1:8" ht="28.5" x14ac:dyDescent="0.45">
      <c r="A11" t="s">
        <v>16</v>
      </c>
      <c r="B11" t="s">
        <v>69</v>
      </c>
      <c r="C11" s="8" t="s">
        <v>26</v>
      </c>
      <c r="D11" s="4" t="s">
        <v>27</v>
      </c>
      <c r="E11" s="92">
        <f>50.4*108</f>
        <v>5443.2</v>
      </c>
      <c r="F11" s="92">
        <v>2271418.1</v>
      </c>
      <c r="G11" s="28">
        <v>0</v>
      </c>
      <c r="H11" s="73" t="s">
        <v>216</v>
      </c>
    </row>
    <row r="12" spans="1:8" ht="28.5" x14ac:dyDescent="0.45">
      <c r="A12" t="s">
        <v>16</v>
      </c>
      <c r="B12" t="s">
        <v>69</v>
      </c>
      <c r="C12" s="8" t="s">
        <v>26</v>
      </c>
      <c r="D12" s="4" t="s">
        <v>28</v>
      </c>
      <c r="E12" s="92">
        <f>40.3*108</f>
        <v>4352.3999999999996</v>
      </c>
      <c r="F12" s="92">
        <v>2271418.1</v>
      </c>
      <c r="G12" s="28">
        <v>0</v>
      </c>
      <c r="H12" s="73" t="s">
        <v>216</v>
      </c>
    </row>
    <row r="13" spans="1:8" x14ac:dyDescent="0.45">
      <c r="A13" t="s">
        <v>16</v>
      </c>
      <c r="B13" t="s">
        <v>69</v>
      </c>
      <c r="C13" s="8" t="s">
        <v>29</v>
      </c>
      <c r="D13" s="4" t="s">
        <v>18</v>
      </c>
      <c r="E13" s="92">
        <v>0</v>
      </c>
      <c r="F13" s="92">
        <v>0</v>
      </c>
      <c r="G13" s="28">
        <v>1</v>
      </c>
      <c r="H13" s="70"/>
    </row>
    <row r="14" spans="1:8" ht="57" x14ac:dyDescent="0.45">
      <c r="A14" t="s">
        <v>16</v>
      </c>
      <c r="B14" t="s">
        <v>69</v>
      </c>
      <c r="C14" s="8" t="s">
        <v>29</v>
      </c>
      <c r="D14" s="4" t="s">
        <v>30</v>
      </c>
      <c r="E14" s="11">
        <v>2740.7247961165253</v>
      </c>
      <c r="F14" s="11">
        <v>0</v>
      </c>
      <c r="G14" s="28">
        <v>1</v>
      </c>
      <c r="H14" s="70" t="s">
        <v>217</v>
      </c>
    </row>
    <row r="15" spans="1:8" x14ac:dyDescent="0.45">
      <c r="A15" t="s">
        <v>16</v>
      </c>
      <c r="B15" t="s">
        <v>69</v>
      </c>
      <c r="C15" s="8" t="s">
        <v>31</v>
      </c>
      <c r="D15" s="4" t="s">
        <v>32</v>
      </c>
      <c r="E15" s="92">
        <v>0</v>
      </c>
      <c r="F15" s="92">
        <v>0</v>
      </c>
      <c r="G15" s="28">
        <v>1</v>
      </c>
      <c r="H15" s="70"/>
    </row>
    <row r="16" spans="1:8" x14ac:dyDescent="0.45">
      <c r="A16" t="s">
        <v>16</v>
      </c>
      <c r="B16" t="s">
        <v>69</v>
      </c>
      <c r="C16" s="8" t="s">
        <v>31</v>
      </c>
      <c r="D16" s="4" t="s">
        <v>34</v>
      </c>
      <c r="E16" s="92">
        <v>0</v>
      </c>
      <c r="F16" s="92">
        <v>0</v>
      </c>
      <c r="G16" s="28">
        <v>1</v>
      </c>
      <c r="H16" s="70"/>
    </row>
    <row r="17" spans="1:8" x14ac:dyDescent="0.45">
      <c r="A17" t="s">
        <v>16</v>
      </c>
      <c r="B17" t="s">
        <v>69</v>
      </c>
      <c r="C17" s="8" t="s">
        <v>33</v>
      </c>
      <c r="D17" s="4" t="s">
        <v>32</v>
      </c>
      <c r="E17" s="92">
        <v>0</v>
      </c>
      <c r="F17" s="92">
        <v>0</v>
      </c>
      <c r="G17" s="28">
        <v>1</v>
      </c>
      <c r="H17" s="70"/>
    </row>
    <row r="18" spans="1:8" x14ac:dyDescent="0.45">
      <c r="A18" t="s">
        <v>16</v>
      </c>
      <c r="B18" t="s">
        <v>69</v>
      </c>
      <c r="C18" s="8" t="s">
        <v>33</v>
      </c>
      <c r="D18" s="4" t="s">
        <v>34</v>
      </c>
      <c r="E18" s="92">
        <v>0</v>
      </c>
      <c r="F18" s="92">
        <v>0</v>
      </c>
      <c r="G18" s="28">
        <v>1</v>
      </c>
      <c r="H18" s="70"/>
    </row>
    <row r="19" spans="1:8" x14ac:dyDescent="0.45">
      <c r="A19" t="s">
        <v>16</v>
      </c>
      <c r="B19" t="s">
        <v>69</v>
      </c>
      <c r="C19" s="8" t="s">
        <v>35</v>
      </c>
      <c r="D19" s="4" t="s">
        <v>36</v>
      </c>
      <c r="E19" s="92">
        <v>0</v>
      </c>
      <c r="F19" s="92">
        <v>0</v>
      </c>
      <c r="G19" s="28">
        <v>1</v>
      </c>
      <c r="H19" s="91"/>
    </row>
    <row r="20" spans="1:8" x14ac:dyDescent="0.45">
      <c r="A20" t="s">
        <v>16</v>
      </c>
      <c r="B20" t="s">
        <v>69</v>
      </c>
      <c r="C20" s="8" t="s">
        <v>35</v>
      </c>
      <c r="D20" s="4" t="s">
        <v>37</v>
      </c>
      <c r="E20" s="92">
        <v>0</v>
      </c>
      <c r="F20" s="92">
        <v>0</v>
      </c>
      <c r="G20" s="28">
        <v>1</v>
      </c>
      <c r="H20" s="70"/>
    </row>
    <row r="21" spans="1:8" x14ac:dyDescent="0.45">
      <c r="A21" t="s">
        <v>16</v>
      </c>
      <c r="B21" t="s">
        <v>69</v>
      </c>
      <c r="C21" s="8" t="s">
        <v>35</v>
      </c>
      <c r="D21" s="4" t="s">
        <v>38</v>
      </c>
      <c r="E21" s="92">
        <v>0</v>
      </c>
      <c r="F21" s="92">
        <v>0</v>
      </c>
      <c r="G21" s="28">
        <v>1</v>
      </c>
      <c r="H21" s="70"/>
    </row>
    <row r="22" spans="1:8" x14ac:dyDescent="0.45">
      <c r="A22" t="s">
        <v>16</v>
      </c>
      <c r="B22" t="s">
        <v>69</v>
      </c>
      <c r="C22" s="8" t="s">
        <v>39</v>
      </c>
      <c r="D22" s="4" t="s">
        <v>32</v>
      </c>
      <c r="E22" s="92">
        <v>0</v>
      </c>
      <c r="F22" s="92">
        <v>0</v>
      </c>
      <c r="G22" s="28">
        <v>1</v>
      </c>
      <c r="H22" s="70"/>
    </row>
    <row r="23" spans="1:8" x14ac:dyDescent="0.45">
      <c r="A23" t="s">
        <v>16</v>
      </c>
      <c r="B23" t="s">
        <v>69</v>
      </c>
      <c r="C23" s="8" t="s">
        <v>39</v>
      </c>
      <c r="D23" s="4" t="s">
        <v>34</v>
      </c>
      <c r="E23" s="92">
        <v>0</v>
      </c>
      <c r="F23" s="92">
        <v>0</v>
      </c>
      <c r="G23" s="28">
        <v>1</v>
      </c>
      <c r="H23" s="70"/>
    </row>
    <row r="24" spans="1:8" x14ac:dyDescent="0.45">
      <c r="A24" t="s">
        <v>16</v>
      </c>
      <c r="B24" t="s">
        <v>69</v>
      </c>
      <c r="C24" s="8" t="s">
        <v>40</v>
      </c>
      <c r="D24" s="4" t="s">
        <v>32</v>
      </c>
      <c r="E24" s="92">
        <v>0</v>
      </c>
      <c r="F24" s="92">
        <v>0</v>
      </c>
      <c r="G24" s="28">
        <v>1</v>
      </c>
      <c r="H24" s="70"/>
    </row>
    <row r="25" spans="1:8" x14ac:dyDescent="0.45">
      <c r="A25" t="s">
        <v>16</v>
      </c>
      <c r="B25" t="s">
        <v>69</v>
      </c>
      <c r="C25" s="8" t="s">
        <v>40</v>
      </c>
      <c r="D25" s="4" t="s">
        <v>34</v>
      </c>
      <c r="E25" s="92">
        <v>0</v>
      </c>
      <c r="F25" s="92">
        <v>0</v>
      </c>
      <c r="G25" s="28">
        <v>1</v>
      </c>
      <c r="H25" s="70"/>
    </row>
    <row r="26" spans="1:8" x14ac:dyDescent="0.45">
      <c r="A26" t="s">
        <v>16</v>
      </c>
      <c r="B26" t="s">
        <v>69</v>
      </c>
      <c r="C26" s="8" t="s">
        <v>41</v>
      </c>
      <c r="D26" s="4" t="s">
        <v>32</v>
      </c>
      <c r="E26" s="92">
        <v>0</v>
      </c>
      <c r="F26" s="92">
        <v>0</v>
      </c>
      <c r="G26" s="28">
        <v>1</v>
      </c>
      <c r="H26" s="70"/>
    </row>
    <row r="27" spans="1:8" x14ac:dyDescent="0.45">
      <c r="A27" t="s">
        <v>16</v>
      </c>
      <c r="B27" t="s">
        <v>69</v>
      </c>
      <c r="C27" s="8" t="s">
        <v>41</v>
      </c>
      <c r="D27" s="4" t="s">
        <v>34</v>
      </c>
      <c r="E27" s="92">
        <v>0</v>
      </c>
      <c r="F27" s="92">
        <v>0</v>
      </c>
      <c r="G27" s="28">
        <v>1</v>
      </c>
      <c r="H27" s="70"/>
    </row>
    <row r="28" spans="1:8" ht="85.5" x14ac:dyDescent="0.45">
      <c r="A28" t="s">
        <v>16</v>
      </c>
      <c r="B28" t="s">
        <v>69</v>
      </c>
      <c r="C28" s="8" t="s">
        <v>42</v>
      </c>
      <c r="D28" s="4" t="s">
        <v>32</v>
      </c>
      <c r="E28" s="92">
        <v>1147</v>
      </c>
      <c r="F28" s="92">
        <v>0</v>
      </c>
      <c r="G28" s="28">
        <v>1</v>
      </c>
      <c r="H28" s="70" t="s">
        <v>218</v>
      </c>
    </row>
    <row r="29" spans="1:8" x14ac:dyDescent="0.45">
      <c r="A29" t="s">
        <v>16</v>
      </c>
      <c r="B29" t="s">
        <v>69</v>
      </c>
      <c r="C29" s="8" t="s">
        <v>42</v>
      </c>
      <c r="D29" s="4" t="s">
        <v>34</v>
      </c>
      <c r="E29" s="92">
        <v>0</v>
      </c>
      <c r="F29" s="92">
        <v>0</v>
      </c>
      <c r="G29" s="28">
        <v>1</v>
      </c>
      <c r="H29" s="70"/>
    </row>
    <row r="30" spans="1:8" ht="99.75" x14ac:dyDescent="0.45">
      <c r="A30" t="s">
        <v>16</v>
      </c>
      <c r="B30" t="s">
        <v>69</v>
      </c>
      <c r="C30" s="8" t="s">
        <v>43</v>
      </c>
      <c r="D30" s="4" t="s">
        <v>32</v>
      </c>
      <c r="E30" s="92">
        <v>3658792.2216170053</v>
      </c>
      <c r="F30" s="92">
        <v>0</v>
      </c>
      <c r="G30" s="28">
        <v>1</v>
      </c>
      <c r="H30" s="70" t="s">
        <v>219</v>
      </c>
    </row>
    <row r="31" spans="1:8" x14ac:dyDescent="0.45">
      <c r="A31" t="s">
        <v>16</v>
      </c>
      <c r="B31" t="s">
        <v>69</v>
      </c>
      <c r="C31" s="8" t="s">
        <v>43</v>
      </c>
      <c r="D31" s="4" t="s">
        <v>34</v>
      </c>
      <c r="E31" s="92">
        <v>0</v>
      </c>
      <c r="F31" s="92">
        <v>0</v>
      </c>
      <c r="G31" s="28">
        <v>1</v>
      </c>
      <c r="H31" s="70"/>
    </row>
    <row r="32" spans="1:8" x14ac:dyDescent="0.45">
      <c r="A32" t="s">
        <v>44</v>
      </c>
      <c r="B32" t="s">
        <v>70</v>
      </c>
      <c r="C32" s="8" t="s">
        <v>20</v>
      </c>
      <c r="D32" s="4" t="s">
        <v>18</v>
      </c>
      <c r="E32" s="92">
        <v>0</v>
      </c>
      <c r="F32" s="92">
        <v>0</v>
      </c>
      <c r="G32" s="28">
        <v>0</v>
      </c>
      <c r="H32" s="70"/>
    </row>
    <row r="33" spans="1:8" s="95" customFormat="1" ht="28.5" x14ac:dyDescent="0.45">
      <c r="A33" s="31" t="s">
        <v>44</v>
      </c>
      <c r="B33" s="31" t="s">
        <v>70</v>
      </c>
      <c r="C33" s="61" t="s">
        <v>20</v>
      </c>
      <c r="D33" s="34" t="s">
        <v>21</v>
      </c>
      <c r="E33" s="93">
        <f>383.1*2/5</f>
        <v>153.24</v>
      </c>
      <c r="F33" s="93">
        <v>0</v>
      </c>
      <c r="G33" s="62">
        <v>0</v>
      </c>
      <c r="H33" s="68" t="s">
        <v>223</v>
      </c>
    </row>
    <row r="34" spans="1:8" x14ac:dyDescent="0.45">
      <c r="A34" t="s">
        <v>44</v>
      </c>
      <c r="B34" t="s">
        <v>70</v>
      </c>
      <c r="C34" s="8" t="s">
        <v>24</v>
      </c>
      <c r="D34" s="4" t="s">
        <v>18</v>
      </c>
      <c r="E34" s="92">
        <v>0</v>
      </c>
      <c r="F34" s="92">
        <v>0</v>
      </c>
      <c r="G34" s="28">
        <v>0</v>
      </c>
      <c r="H34" s="70"/>
    </row>
    <row r="35" spans="1:8" ht="28.5" x14ac:dyDescent="0.45">
      <c r="A35" t="s">
        <v>44</v>
      </c>
      <c r="B35" t="s">
        <v>70</v>
      </c>
      <c r="C35" s="8" t="s">
        <v>24</v>
      </c>
      <c r="D35" s="4" t="s">
        <v>25</v>
      </c>
      <c r="E35" s="92">
        <v>165.2</v>
      </c>
      <c r="F35" s="92">
        <v>0</v>
      </c>
      <c r="G35" s="28">
        <v>0</v>
      </c>
      <c r="H35" s="70" t="s">
        <v>214</v>
      </c>
    </row>
    <row r="36" spans="1:8" x14ac:dyDescent="0.45">
      <c r="A36" t="s">
        <v>44</v>
      </c>
      <c r="B36" t="s">
        <v>70</v>
      </c>
      <c r="C36" s="8" t="s">
        <v>26</v>
      </c>
      <c r="D36" s="4" t="s">
        <v>18</v>
      </c>
      <c r="E36" s="92">
        <v>0</v>
      </c>
      <c r="F36" s="92">
        <v>0</v>
      </c>
      <c r="G36" s="28">
        <v>0</v>
      </c>
      <c r="H36" s="70"/>
    </row>
    <row r="37" spans="1:8" ht="42.75" x14ac:dyDescent="0.45">
      <c r="A37" t="s">
        <v>44</v>
      </c>
      <c r="B37" t="s">
        <v>70</v>
      </c>
      <c r="C37" s="8" t="s">
        <v>26</v>
      </c>
      <c r="D37" s="4" t="s">
        <v>27</v>
      </c>
      <c r="E37" s="92">
        <f>50.4*108</f>
        <v>5443.2</v>
      </c>
      <c r="F37" s="92">
        <v>2271418.1</v>
      </c>
      <c r="G37" s="28">
        <v>0</v>
      </c>
      <c r="H37" s="70" t="s">
        <v>128</v>
      </c>
    </row>
    <row r="38" spans="1:8" x14ac:dyDescent="0.45">
      <c r="A38" t="s">
        <v>44</v>
      </c>
      <c r="B38" t="s">
        <v>70</v>
      </c>
      <c r="C38" s="8" t="s">
        <v>26</v>
      </c>
      <c r="D38" s="4" t="s">
        <v>28</v>
      </c>
      <c r="E38" s="92">
        <f>40.3*108</f>
        <v>4352.3999999999996</v>
      </c>
      <c r="F38" s="92">
        <v>2271418.1</v>
      </c>
      <c r="G38" s="28">
        <v>0</v>
      </c>
      <c r="H38" s="70"/>
    </row>
    <row r="39" spans="1:8" ht="28.5" x14ac:dyDescent="0.45">
      <c r="A39" t="s">
        <v>44</v>
      </c>
      <c r="B39" t="s">
        <v>70</v>
      </c>
      <c r="C39" s="8" t="s">
        <v>29</v>
      </c>
      <c r="D39" s="4" t="s">
        <v>18</v>
      </c>
      <c r="E39" s="92">
        <v>0</v>
      </c>
      <c r="F39" s="92">
        <v>0</v>
      </c>
      <c r="G39" s="28">
        <v>0</v>
      </c>
      <c r="H39" s="73" t="s">
        <v>216</v>
      </c>
    </row>
    <row r="40" spans="1:8" ht="28.5" x14ac:dyDescent="0.45">
      <c r="A40" t="s">
        <v>44</v>
      </c>
      <c r="B40" t="s">
        <v>70</v>
      </c>
      <c r="C40" s="8" t="s">
        <v>29</v>
      </c>
      <c r="D40" s="4" t="s">
        <v>30</v>
      </c>
      <c r="E40" s="11">
        <v>2740.7247961165253</v>
      </c>
      <c r="F40" s="92">
        <v>0</v>
      </c>
      <c r="G40" s="28">
        <v>0</v>
      </c>
      <c r="H40" s="73" t="s">
        <v>216</v>
      </c>
    </row>
    <row r="41" spans="1:8" x14ac:dyDescent="0.45">
      <c r="A41" t="s">
        <v>44</v>
      </c>
      <c r="B41" t="s">
        <v>70</v>
      </c>
      <c r="C41" s="8" t="s">
        <v>31</v>
      </c>
      <c r="D41" s="4" t="s">
        <v>32</v>
      </c>
      <c r="E41" s="92">
        <v>0</v>
      </c>
      <c r="F41" s="92">
        <v>0</v>
      </c>
      <c r="G41" s="28">
        <v>1</v>
      </c>
      <c r="H41" s="70"/>
    </row>
    <row r="42" spans="1:8" ht="57" x14ac:dyDescent="0.45">
      <c r="A42" t="s">
        <v>44</v>
      </c>
      <c r="B42" t="s">
        <v>70</v>
      </c>
      <c r="C42" s="8" t="s">
        <v>31</v>
      </c>
      <c r="D42" s="4" t="s">
        <v>34</v>
      </c>
      <c r="E42" s="92">
        <v>0</v>
      </c>
      <c r="F42" s="92">
        <v>0</v>
      </c>
      <c r="G42" s="28">
        <v>1</v>
      </c>
      <c r="H42" s="70" t="s">
        <v>217</v>
      </c>
    </row>
    <row r="43" spans="1:8" x14ac:dyDescent="0.45">
      <c r="A43" t="s">
        <v>44</v>
      </c>
      <c r="B43" t="s">
        <v>70</v>
      </c>
      <c r="C43" s="8" t="s">
        <v>33</v>
      </c>
      <c r="D43" s="4" t="s">
        <v>32</v>
      </c>
      <c r="E43" s="92">
        <v>0</v>
      </c>
      <c r="F43" s="92">
        <v>0</v>
      </c>
      <c r="G43" s="28">
        <v>1</v>
      </c>
      <c r="H43" s="70"/>
    </row>
    <row r="44" spans="1:8" x14ac:dyDescent="0.45">
      <c r="A44" t="s">
        <v>44</v>
      </c>
      <c r="B44" t="s">
        <v>70</v>
      </c>
      <c r="C44" s="8" t="s">
        <v>33</v>
      </c>
      <c r="D44" s="4" t="s">
        <v>34</v>
      </c>
      <c r="E44" s="92">
        <v>0</v>
      </c>
      <c r="F44" s="92">
        <v>0</v>
      </c>
      <c r="G44" s="28">
        <v>1</v>
      </c>
      <c r="H44" s="70"/>
    </row>
    <row r="45" spans="1:8" x14ac:dyDescent="0.45">
      <c r="A45" t="s">
        <v>44</v>
      </c>
      <c r="B45" t="s">
        <v>70</v>
      </c>
      <c r="C45" s="8" t="s">
        <v>35</v>
      </c>
      <c r="D45" s="4" t="s">
        <v>36</v>
      </c>
      <c r="E45" s="92">
        <v>0</v>
      </c>
      <c r="F45" s="92">
        <v>0</v>
      </c>
      <c r="G45" s="28">
        <v>1</v>
      </c>
      <c r="H45" s="70"/>
    </row>
    <row r="46" spans="1:8" x14ac:dyDescent="0.45">
      <c r="A46" t="s">
        <v>44</v>
      </c>
      <c r="B46" t="s">
        <v>70</v>
      </c>
      <c r="C46" s="8" t="s">
        <v>35</v>
      </c>
      <c r="D46" s="4" t="s">
        <v>37</v>
      </c>
      <c r="E46" s="92">
        <v>0</v>
      </c>
      <c r="F46" s="92">
        <v>0</v>
      </c>
      <c r="G46" s="28">
        <v>1</v>
      </c>
      <c r="H46" s="70"/>
    </row>
    <row r="47" spans="1:8" x14ac:dyDescent="0.45">
      <c r="A47" t="s">
        <v>44</v>
      </c>
      <c r="B47" t="s">
        <v>70</v>
      </c>
      <c r="C47" s="8" t="s">
        <v>35</v>
      </c>
      <c r="D47" s="4" t="s">
        <v>38</v>
      </c>
      <c r="E47" s="92">
        <v>0</v>
      </c>
      <c r="F47" s="92">
        <v>0</v>
      </c>
      <c r="G47" s="28">
        <v>1</v>
      </c>
      <c r="H47" s="70"/>
    </row>
    <row r="48" spans="1:8" x14ac:dyDescent="0.45">
      <c r="A48" t="s">
        <v>16</v>
      </c>
      <c r="B48" t="s">
        <v>69</v>
      </c>
      <c r="C48" s="63" t="s">
        <v>135</v>
      </c>
      <c r="D48" s="4" t="s">
        <v>32</v>
      </c>
      <c r="E48" s="92">
        <v>0</v>
      </c>
      <c r="F48" s="92">
        <v>0</v>
      </c>
      <c r="G48" s="28">
        <v>1</v>
      </c>
      <c r="H48" s="70"/>
    </row>
    <row r="49" spans="1:8" x14ac:dyDescent="0.45">
      <c r="A49" t="s">
        <v>16</v>
      </c>
      <c r="B49" t="s">
        <v>69</v>
      </c>
      <c r="C49" s="63" t="s">
        <v>135</v>
      </c>
      <c r="D49" s="4" t="s">
        <v>34</v>
      </c>
      <c r="E49" s="92">
        <v>0</v>
      </c>
      <c r="F49" s="92">
        <v>0</v>
      </c>
      <c r="G49" s="28">
        <v>1</v>
      </c>
      <c r="H49" s="70"/>
    </row>
    <row r="50" spans="1:8" x14ac:dyDescent="0.45">
      <c r="A50" t="s">
        <v>44</v>
      </c>
      <c r="B50" t="s">
        <v>70</v>
      </c>
      <c r="C50" s="8" t="s">
        <v>45</v>
      </c>
      <c r="D50" s="4" t="s">
        <v>32</v>
      </c>
      <c r="E50" s="92">
        <v>0</v>
      </c>
      <c r="F50" s="92">
        <v>0</v>
      </c>
      <c r="G50" s="28">
        <v>1</v>
      </c>
      <c r="H50" s="70"/>
    </row>
    <row r="51" spans="1:8" x14ac:dyDescent="0.45">
      <c r="A51" t="s">
        <v>44</v>
      </c>
      <c r="B51" t="s">
        <v>70</v>
      </c>
      <c r="C51" s="8" t="s">
        <v>45</v>
      </c>
      <c r="D51" s="4" t="s">
        <v>34</v>
      </c>
      <c r="E51" s="92">
        <v>0</v>
      </c>
      <c r="F51" s="92">
        <v>0</v>
      </c>
      <c r="G51" s="28">
        <v>1</v>
      </c>
      <c r="H51" s="70"/>
    </row>
    <row r="52" spans="1:8" x14ac:dyDescent="0.45">
      <c r="A52" t="s">
        <v>44</v>
      </c>
      <c r="B52" t="s">
        <v>70</v>
      </c>
      <c r="C52" s="8" t="s">
        <v>40</v>
      </c>
      <c r="D52" s="4" t="s">
        <v>32</v>
      </c>
      <c r="E52" s="92">
        <v>0</v>
      </c>
      <c r="F52" s="92">
        <v>0</v>
      </c>
      <c r="G52" s="28">
        <v>1</v>
      </c>
      <c r="H52" s="70"/>
    </row>
    <row r="53" spans="1:8" x14ac:dyDescent="0.45">
      <c r="A53" t="s">
        <v>44</v>
      </c>
      <c r="B53" t="s">
        <v>70</v>
      </c>
      <c r="C53" s="8" t="s">
        <v>40</v>
      </c>
      <c r="D53" s="4" t="s">
        <v>34</v>
      </c>
      <c r="E53" s="92">
        <v>0</v>
      </c>
      <c r="F53" s="92">
        <v>0</v>
      </c>
      <c r="G53" s="28">
        <v>1</v>
      </c>
      <c r="H53" s="70"/>
    </row>
    <row r="54" spans="1:8" x14ac:dyDescent="0.45">
      <c r="A54" t="s">
        <v>44</v>
      </c>
      <c r="B54" t="s">
        <v>70</v>
      </c>
      <c r="C54" s="8" t="s">
        <v>41</v>
      </c>
      <c r="D54" s="4" t="s">
        <v>32</v>
      </c>
      <c r="E54" s="92">
        <v>0</v>
      </c>
      <c r="F54" s="92">
        <v>0</v>
      </c>
      <c r="G54" s="28">
        <v>1</v>
      </c>
      <c r="H54" s="70"/>
    </row>
    <row r="55" spans="1:8" x14ac:dyDescent="0.45">
      <c r="A55" t="s">
        <v>44</v>
      </c>
      <c r="B55" t="s">
        <v>70</v>
      </c>
      <c r="C55" s="8" t="s">
        <v>41</v>
      </c>
      <c r="D55" s="4" t="s">
        <v>34</v>
      </c>
      <c r="E55" s="92">
        <v>0</v>
      </c>
      <c r="F55" s="92">
        <v>0</v>
      </c>
      <c r="G55" s="28">
        <v>1</v>
      </c>
      <c r="H55" s="70"/>
    </row>
    <row r="56" spans="1:8" ht="85.5" x14ac:dyDescent="0.45">
      <c r="A56" t="s">
        <v>44</v>
      </c>
      <c r="B56" t="s">
        <v>70</v>
      </c>
      <c r="C56" s="8" t="s">
        <v>46</v>
      </c>
      <c r="D56" s="4" t="s">
        <v>32</v>
      </c>
      <c r="E56" s="92">
        <v>1147</v>
      </c>
      <c r="F56" s="92">
        <v>0</v>
      </c>
      <c r="G56" s="28">
        <v>1</v>
      </c>
      <c r="H56" s="70" t="s">
        <v>218</v>
      </c>
    </row>
    <row r="57" spans="1:8" x14ac:dyDescent="0.45">
      <c r="A57" t="s">
        <v>44</v>
      </c>
      <c r="B57" t="s">
        <v>70</v>
      </c>
      <c r="C57" s="8" t="s">
        <v>46</v>
      </c>
      <c r="D57" s="4" t="s">
        <v>34</v>
      </c>
      <c r="E57" s="92">
        <v>0</v>
      </c>
      <c r="F57" s="92">
        <v>0</v>
      </c>
      <c r="G57" s="28">
        <v>1</v>
      </c>
      <c r="H57" s="70"/>
    </row>
    <row r="58" spans="1:8" ht="99.75" x14ac:dyDescent="0.45">
      <c r="A58" t="s">
        <v>44</v>
      </c>
      <c r="B58" t="s">
        <v>70</v>
      </c>
      <c r="C58" s="8" t="s">
        <v>47</v>
      </c>
      <c r="D58" s="4" t="s">
        <v>32</v>
      </c>
      <c r="E58" s="92">
        <v>3658792.2216170053</v>
      </c>
      <c r="F58" s="92">
        <v>0</v>
      </c>
      <c r="G58" s="28">
        <v>1</v>
      </c>
      <c r="H58" s="70" t="s">
        <v>219</v>
      </c>
    </row>
    <row r="59" spans="1:8" x14ac:dyDescent="0.45">
      <c r="A59" t="s">
        <v>44</v>
      </c>
      <c r="B59" t="s">
        <v>70</v>
      </c>
      <c r="C59" s="8" t="s">
        <v>47</v>
      </c>
      <c r="D59" s="4" t="s">
        <v>34</v>
      </c>
      <c r="E59" s="92">
        <v>0</v>
      </c>
      <c r="F59" s="92">
        <v>0</v>
      </c>
      <c r="G59" s="28">
        <v>1</v>
      </c>
      <c r="H59" s="70"/>
    </row>
    <row r="60" spans="1:8" x14ac:dyDescent="0.45">
      <c r="A60" t="s">
        <v>48</v>
      </c>
      <c r="B60" t="s">
        <v>71</v>
      </c>
      <c r="C60" s="8" t="s">
        <v>22</v>
      </c>
      <c r="D60" s="4" t="s">
        <v>18</v>
      </c>
      <c r="E60" s="92">
        <v>0</v>
      </c>
      <c r="F60" s="92">
        <v>0</v>
      </c>
      <c r="G60" s="28">
        <v>0</v>
      </c>
      <c r="H60" s="70"/>
    </row>
    <row r="61" spans="1:8" ht="28.5" x14ac:dyDescent="0.45">
      <c r="A61" t="s">
        <v>48</v>
      </c>
      <c r="B61" t="s">
        <v>71</v>
      </c>
      <c r="C61" s="8" t="s">
        <v>22</v>
      </c>
      <c r="D61" s="4" t="s">
        <v>23</v>
      </c>
      <c r="E61" s="92">
        <v>5559.7</v>
      </c>
      <c r="F61" s="92">
        <v>0</v>
      </c>
      <c r="G61" s="28">
        <v>0</v>
      </c>
      <c r="H61" s="70" t="s">
        <v>215</v>
      </c>
    </row>
    <row r="62" spans="1:8" x14ac:dyDescent="0.45">
      <c r="A62" t="s">
        <v>48</v>
      </c>
      <c r="B62" t="s">
        <v>71</v>
      </c>
      <c r="C62" s="8" t="s">
        <v>20</v>
      </c>
      <c r="D62" s="4" t="s">
        <v>18</v>
      </c>
      <c r="E62" s="92">
        <v>0</v>
      </c>
      <c r="F62" s="92">
        <v>0</v>
      </c>
      <c r="G62" s="28">
        <v>1</v>
      </c>
      <c r="H62" s="70"/>
    </row>
    <row r="63" spans="1:8" s="95" customFormat="1" ht="28.5" x14ac:dyDescent="0.45">
      <c r="A63" s="31" t="s">
        <v>48</v>
      </c>
      <c r="B63" s="31" t="s">
        <v>71</v>
      </c>
      <c r="C63" s="61" t="s">
        <v>20</v>
      </c>
      <c r="D63" s="34" t="s">
        <v>21</v>
      </c>
      <c r="E63" s="93">
        <f>383.1*2/5</f>
        <v>153.24</v>
      </c>
      <c r="F63" s="93">
        <v>0</v>
      </c>
      <c r="G63" s="62">
        <v>1</v>
      </c>
      <c r="H63" s="68" t="s">
        <v>223</v>
      </c>
    </row>
    <row r="64" spans="1:8" x14ac:dyDescent="0.45">
      <c r="A64" t="s">
        <v>48</v>
      </c>
      <c r="B64" t="s">
        <v>71</v>
      </c>
      <c r="C64" s="8" t="s">
        <v>49</v>
      </c>
      <c r="D64" s="4" t="s">
        <v>18</v>
      </c>
      <c r="E64" s="92">
        <v>0</v>
      </c>
      <c r="F64" s="92">
        <v>0</v>
      </c>
      <c r="G64" s="28">
        <v>1</v>
      </c>
      <c r="H64" s="70"/>
    </row>
    <row r="65" spans="1:8" ht="28.5" x14ac:dyDescent="0.45">
      <c r="A65" t="s">
        <v>48</v>
      </c>
      <c r="B65" t="s">
        <v>71</v>
      </c>
      <c r="C65" s="8" t="s">
        <v>49</v>
      </c>
      <c r="D65" s="4" t="s">
        <v>50</v>
      </c>
      <c r="E65" s="92">
        <v>1264.3</v>
      </c>
      <c r="F65" s="92">
        <v>0</v>
      </c>
      <c r="G65" s="28">
        <v>1</v>
      </c>
      <c r="H65" s="70" t="s">
        <v>220</v>
      </c>
    </row>
    <row r="66" spans="1:8" x14ac:dyDescent="0.45">
      <c r="A66" t="s">
        <v>48</v>
      </c>
      <c r="B66" t="s">
        <v>71</v>
      </c>
      <c r="C66" s="8" t="s">
        <v>26</v>
      </c>
      <c r="D66" s="4" t="s">
        <v>18</v>
      </c>
      <c r="E66" s="92">
        <v>0</v>
      </c>
      <c r="F66" s="92">
        <v>0</v>
      </c>
      <c r="G66" s="28">
        <v>1</v>
      </c>
      <c r="H66" s="70"/>
    </row>
    <row r="67" spans="1:8" ht="28.5" x14ac:dyDescent="0.45">
      <c r="A67" t="s">
        <v>48</v>
      </c>
      <c r="B67" t="s">
        <v>71</v>
      </c>
      <c r="C67" s="8" t="s">
        <v>26</v>
      </c>
      <c r="D67" s="4" t="s">
        <v>27</v>
      </c>
      <c r="E67" s="92">
        <f>50.4*108</f>
        <v>5443.2</v>
      </c>
      <c r="F67" s="92">
        <v>2271418.1</v>
      </c>
      <c r="G67" s="28">
        <v>1</v>
      </c>
      <c r="H67" s="73" t="s">
        <v>216</v>
      </c>
    </row>
    <row r="68" spans="1:8" ht="28.5" x14ac:dyDescent="0.45">
      <c r="A68" t="s">
        <v>48</v>
      </c>
      <c r="B68" t="s">
        <v>71</v>
      </c>
      <c r="C68" s="8" t="s">
        <v>26</v>
      </c>
      <c r="D68" s="4" t="s">
        <v>28</v>
      </c>
      <c r="E68" s="92">
        <f>40.3*108</f>
        <v>4352.3999999999996</v>
      </c>
      <c r="F68" s="92">
        <v>2271418.1</v>
      </c>
      <c r="G68" s="28">
        <v>1</v>
      </c>
      <c r="H68" s="73" t="s">
        <v>216</v>
      </c>
    </row>
    <row r="69" spans="1:8" x14ac:dyDescent="0.45">
      <c r="A69" t="s">
        <v>48</v>
      </c>
      <c r="B69" t="s">
        <v>71</v>
      </c>
      <c r="C69" s="8" t="s">
        <v>17</v>
      </c>
      <c r="D69" s="4" t="s">
        <v>18</v>
      </c>
      <c r="E69" s="92">
        <v>0</v>
      </c>
      <c r="F69" s="92">
        <v>0</v>
      </c>
      <c r="G69" s="28">
        <v>0</v>
      </c>
      <c r="H69" s="70"/>
    </row>
    <row r="70" spans="1:8" ht="28.5" x14ac:dyDescent="0.45">
      <c r="A70" t="s">
        <v>48</v>
      </c>
      <c r="B70" t="s">
        <v>71</v>
      </c>
      <c r="C70" s="8" t="s">
        <v>17</v>
      </c>
      <c r="D70" s="4" t="s">
        <v>19</v>
      </c>
      <c r="E70" s="92">
        <f>AVERAGE(4376.3,32820.8)</f>
        <v>18598.550000000003</v>
      </c>
      <c r="F70" s="92">
        <v>0</v>
      </c>
      <c r="G70" s="28">
        <v>0</v>
      </c>
      <c r="H70" s="70" t="s">
        <v>213</v>
      </c>
    </row>
    <row r="71" spans="1:8" x14ac:dyDescent="0.45">
      <c r="A71" t="s">
        <v>48</v>
      </c>
      <c r="B71" t="s">
        <v>71</v>
      </c>
      <c r="C71" s="8" t="s">
        <v>35</v>
      </c>
      <c r="D71" s="4" t="s">
        <v>36</v>
      </c>
      <c r="E71" s="92">
        <v>0</v>
      </c>
      <c r="F71" s="92">
        <v>0</v>
      </c>
      <c r="G71" s="28">
        <v>1</v>
      </c>
      <c r="H71" s="91"/>
    </row>
    <row r="72" spans="1:8" x14ac:dyDescent="0.45">
      <c r="A72" t="s">
        <v>48</v>
      </c>
      <c r="B72" t="s">
        <v>71</v>
      </c>
      <c r="C72" s="8" t="s">
        <v>35</v>
      </c>
      <c r="D72" s="4" t="s">
        <v>37</v>
      </c>
      <c r="E72" s="92">
        <v>0</v>
      </c>
      <c r="F72" s="92">
        <v>0</v>
      </c>
      <c r="G72" s="28">
        <v>1</v>
      </c>
      <c r="H72" s="70"/>
    </row>
    <row r="73" spans="1:8" x14ac:dyDescent="0.45">
      <c r="A73" t="s">
        <v>48</v>
      </c>
      <c r="B73" t="s">
        <v>71</v>
      </c>
      <c r="C73" s="8" t="s">
        <v>35</v>
      </c>
      <c r="D73" s="4" t="s">
        <v>38</v>
      </c>
      <c r="E73" s="92">
        <v>0</v>
      </c>
      <c r="F73" s="92">
        <v>0</v>
      </c>
      <c r="G73" s="28">
        <v>1</v>
      </c>
      <c r="H73" s="70"/>
    </row>
    <row r="74" spans="1:8" x14ac:dyDescent="0.45">
      <c r="A74" t="s">
        <v>48</v>
      </c>
      <c r="B74" t="s">
        <v>71</v>
      </c>
      <c r="C74" s="8" t="s">
        <v>51</v>
      </c>
      <c r="D74" s="4" t="s">
        <v>32</v>
      </c>
      <c r="E74" s="92">
        <v>0</v>
      </c>
      <c r="F74" s="92">
        <v>0</v>
      </c>
      <c r="G74" s="28">
        <v>1</v>
      </c>
      <c r="H74" s="70"/>
    </row>
    <row r="75" spans="1:8" x14ac:dyDescent="0.45">
      <c r="A75" t="s">
        <v>48</v>
      </c>
      <c r="B75" t="s">
        <v>71</v>
      </c>
      <c r="C75" s="8" t="s">
        <v>51</v>
      </c>
      <c r="D75" s="4" t="s">
        <v>34</v>
      </c>
      <c r="E75" s="92">
        <v>0</v>
      </c>
      <c r="F75" s="92">
        <v>0</v>
      </c>
      <c r="G75" s="28">
        <v>1</v>
      </c>
      <c r="H75" s="70"/>
    </row>
    <row r="76" spans="1:8" x14ac:dyDescent="0.45">
      <c r="A76" t="s">
        <v>48</v>
      </c>
      <c r="B76" t="s">
        <v>71</v>
      </c>
      <c r="C76" s="8" t="s">
        <v>52</v>
      </c>
      <c r="D76" s="4" t="s">
        <v>32</v>
      </c>
      <c r="E76" s="92">
        <v>0</v>
      </c>
      <c r="F76" s="92">
        <v>0</v>
      </c>
      <c r="G76" s="28">
        <v>1</v>
      </c>
      <c r="H76" s="70"/>
    </row>
    <row r="77" spans="1:8" x14ac:dyDescent="0.45">
      <c r="A77" t="s">
        <v>48</v>
      </c>
      <c r="B77" t="s">
        <v>71</v>
      </c>
      <c r="C77" s="8" t="s">
        <v>52</v>
      </c>
      <c r="D77" s="4" t="s">
        <v>34</v>
      </c>
      <c r="E77" s="92">
        <v>0</v>
      </c>
      <c r="F77" s="92">
        <v>0</v>
      </c>
      <c r="G77" s="28">
        <v>1</v>
      </c>
      <c r="H77" s="70"/>
    </row>
    <row r="78" spans="1:8" x14ac:dyDescent="0.45">
      <c r="A78" t="s">
        <v>48</v>
      </c>
      <c r="B78" t="s">
        <v>71</v>
      </c>
      <c r="C78" s="8" t="s">
        <v>53</v>
      </c>
      <c r="D78" s="4" t="s">
        <v>18</v>
      </c>
      <c r="E78" s="92">
        <v>0</v>
      </c>
      <c r="F78" s="92">
        <v>0</v>
      </c>
      <c r="G78" s="28">
        <v>1</v>
      </c>
      <c r="H78" s="70"/>
    </row>
    <row r="79" spans="1:8" ht="28.5" x14ac:dyDescent="0.45">
      <c r="A79" t="s">
        <v>48</v>
      </c>
      <c r="B79" t="s">
        <v>71</v>
      </c>
      <c r="C79" s="8" t="s">
        <v>53</v>
      </c>
      <c r="D79" s="4" t="s">
        <v>54</v>
      </c>
      <c r="E79" s="92">
        <v>4455.6000000000004</v>
      </c>
      <c r="F79" s="92">
        <v>0</v>
      </c>
      <c r="G79" s="28">
        <v>1</v>
      </c>
      <c r="H79" s="70" t="s">
        <v>121</v>
      </c>
    </row>
    <row r="80" spans="1:8" ht="28.5" x14ac:dyDescent="0.45">
      <c r="A80" t="s">
        <v>48</v>
      </c>
      <c r="B80" t="s">
        <v>71</v>
      </c>
      <c r="C80" s="8" t="s">
        <v>53</v>
      </c>
      <c r="D80" s="4" t="s">
        <v>55</v>
      </c>
      <c r="E80" s="92">
        <v>13367</v>
      </c>
      <c r="F80" s="92">
        <v>0</v>
      </c>
      <c r="G80" s="28">
        <v>1</v>
      </c>
      <c r="H80" s="70" t="s">
        <v>120</v>
      </c>
    </row>
    <row r="81" spans="1:8" x14ac:dyDescent="0.45">
      <c r="A81" t="s">
        <v>48</v>
      </c>
      <c r="B81" t="s">
        <v>72</v>
      </c>
      <c r="C81" s="8" t="s">
        <v>22</v>
      </c>
      <c r="D81" s="4" t="s">
        <v>18</v>
      </c>
      <c r="E81" s="92">
        <v>0</v>
      </c>
      <c r="F81" s="92">
        <v>0</v>
      </c>
      <c r="G81" s="28">
        <v>0</v>
      </c>
      <c r="H81" s="70"/>
    </row>
    <row r="82" spans="1:8" ht="28.5" x14ac:dyDescent="0.45">
      <c r="A82" t="s">
        <v>48</v>
      </c>
      <c r="B82" t="s">
        <v>72</v>
      </c>
      <c r="C82" s="8" t="s">
        <v>22</v>
      </c>
      <c r="D82" s="4" t="s">
        <v>23</v>
      </c>
      <c r="E82" s="92">
        <v>5559.7</v>
      </c>
      <c r="F82" s="92">
        <v>0</v>
      </c>
      <c r="G82" s="28">
        <v>0</v>
      </c>
      <c r="H82" s="70" t="s">
        <v>215</v>
      </c>
    </row>
    <row r="83" spans="1:8" x14ac:dyDescent="0.45">
      <c r="A83" t="s">
        <v>48</v>
      </c>
      <c r="B83" t="s">
        <v>72</v>
      </c>
      <c r="C83" s="8" t="s">
        <v>49</v>
      </c>
      <c r="D83" s="4" t="s">
        <v>18</v>
      </c>
      <c r="E83" s="92">
        <v>0</v>
      </c>
      <c r="F83" s="92">
        <v>0</v>
      </c>
      <c r="G83" s="28">
        <v>0</v>
      </c>
      <c r="H83" s="70"/>
    </row>
    <row r="84" spans="1:8" ht="28.5" x14ac:dyDescent="0.45">
      <c r="A84" t="s">
        <v>48</v>
      </c>
      <c r="B84" t="s">
        <v>72</v>
      </c>
      <c r="C84" s="8" t="s">
        <v>49</v>
      </c>
      <c r="D84" s="4" t="s">
        <v>50</v>
      </c>
      <c r="E84" s="92">
        <v>1264.3</v>
      </c>
      <c r="F84" s="92">
        <v>0</v>
      </c>
      <c r="G84" s="28">
        <v>0</v>
      </c>
      <c r="H84" s="70" t="s">
        <v>220</v>
      </c>
    </row>
    <row r="85" spans="1:8" x14ac:dyDescent="0.45">
      <c r="A85" t="s">
        <v>48</v>
      </c>
      <c r="B85" t="s">
        <v>72</v>
      </c>
      <c r="C85" s="8" t="s">
        <v>26</v>
      </c>
      <c r="D85" s="4" t="s">
        <v>18</v>
      </c>
      <c r="E85" s="92">
        <v>0</v>
      </c>
      <c r="F85" s="92">
        <v>0</v>
      </c>
      <c r="G85" s="28">
        <v>0</v>
      </c>
      <c r="H85" s="70"/>
    </row>
    <row r="86" spans="1:8" ht="28.5" x14ac:dyDescent="0.45">
      <c r="A86" t="s">
        <v>48</v>
      </c>
      <c r="B86" t="s">
        <v>72</v>
      </c>
      <c r="C86" s="8" t="s">
        <v>26</v>
      </c>
      <c r="D86" s="4" t="s">
        <v>27</v>
      </c>
      <c r="E86" s="92">
        <f>50.4*108</f>
        <v>5443.2</v>
      </c>
      <c r="F86" s="92">
        <v>2271418.1</v>
      </c>
      <c r="G86" s="28">
        <v>0</v>
      </c>
      <c r="H86" s="73" t="s">
        <v>216</v>
      </c>
    </row>
    <row r="87" spans="1:8" ht="28.5" x14ac:dyDescent="0.45">
      <c r="A87" t="s">
        <v>48</v>
      </c>
      <c r="B87" t="s">
        <v>72</v>
      </c>
      <c r="C87" s="8" t="s">
        <v>26</v>
      </c>
      <c r="D87" s="4" t="s">
        <v>28</v>
      </c>
      <c r="E87" s="92">
        <f>40.3*108</f>
        <v>4352.3999999999996</v>
      </c>
      <c r="F87" s="92">
        <v>2271418.1</v>
      </c>
      <c r="G87" s="28">
        <v>0</v>
      </c>
      <c r="H87" s="73" t="s">
        <v>216</v>
      </c>
    </row>
    <row r="88" spans="1:8" x14ac:dyDescent="0.45">
      <c r="A88" t="s">
        <v>48</v>
      </c>
      <c r="B88" t="s">
        <v>72</v>
      </c>
      <c r="C88" s="8" t="s">
        <v>35</v>
      </c>
      <c r="D88" s="4" t="s">
        <v>36</v>
      </c>
      <c r="E88" s="92">
        <v>0</v>
      </c>
      <c r="F88" s="92">
        <v>0</v>
      </c>
      <c r="G88" s="28">
        <v>0</v>
      </c>
      <c r="H88" s="70"/>
    </row>
    <row r="89" spans="1:8" x14ac:dyDescent="0.45">
      <c r="A89" t="s">
        <v>48</v>
      </c>
      <c r="B89" t="s">
        <v>72</v>
      </c>
      <c r="C89" s="8" t="s">
        <v>35</v>
      </c>
      <c r="D89" s="4" t="s">
        <v>37</v>
      </c>
      <c r="E89" s="92">
        <v>0</v>
      </c>
      <c r="F89" s="92">
        <v>0</v>
      </c>
      <c r="G89" s="28">
        <v>0</v>
      </c>
      <c r="H89" s="70"/>
    </row>
    <row r="90" spans="1:8" x14ac:dyDescent="0.45">
      <c r="A90" t="s">
        <v>48</v>
      </c>
      <c r="B90" t="s">
        <v>72</v>
      </c>
      <c r="C90" s="8" t="s">
        <v>35</v>
      </c>
      <c r="D90" s="4" t="s">
        <v>38</v>
      </c>
      <c r="E90" s="92">
        <v>0</v>
      </c>
      <c r="F90" s="92">
        <v>0</v>
      </c>
      <c r="G90" s="28">
        <v>0</v>
      </c>
      <c r="H90" s="70"/>
    </row>
    <row r="91" spans="1:8" x14ac:dyDescent="0.45">
      <c r="A91" t="s">
        <v>48</v>
      </c>
      <c r="B91" t="s">
        <v>72</v>
      </c>
      <c r="C91" s="8" t="s">
        <v>56</v>
      </c>
      <c r="D91" s="4" t="s">
        <v>32</v>
      </c>
      <c r="E91" s="92">
        <v>0</v>
      </c>
      <c r="F91" s="92">
        <v>0</v>
      </c>
      <c r="G91" s="28">
        <v>1</v>
      </c>
      <c r="H91" s="70"/>
    </row>
    <row r="92" spans="1:8" x14ac:dyDescent="0.45">
      <c r="A92" t="s">
        <v>48</v>
      </c>
      <c r="B92" t="s">
        <v>72</v>
      </c>
      <c r="C92" s="8" t="s">
        <v>56</v>
      </c>
      <c r="D92" s="4" t="s">
        <v>34</v>
      </c>
      <c r="E92" s="92">
        <v>0</v>
      </c>
      <c r="F92" s="92">
        <v>0</v>
      </c>
      <c r="G92" s="28">
        <v>1</v>
      </c>
      <c r="H92" s="91"/>
    </row>
    <row r="93" spans="1:8" x14ac:dyDescent="0.45">
      <c r="A93" t="s">
        <v>48</v>
      </c>
      <c r="B93" t="s">
        <v>72</v>
      </c>
      <c r="C93" s="8" t="s">
        <v>57</v>
      </c>
      <c r="D93" s="4" t="s">
        <v>18</v>
      </c>
      <c r="E93" s="92">
        <v>0</v>
      </c>
      <c r="F93" s="92">
        <v>0</v>
      </c>
      <c r="G93" s="28">
        <v>1</v>
      </c>
      <c r="H93" s="91"/>
    </row>
    <row r="94" spans="1:8" ht="114" x14ac:dyDescent="0.45">
      <c r="A94" t="s">
        <v>48</v>
      </c>
      <c r="B94" t="s">
        <v>72</v>
      </c>
      <c r="C94" s="8" t="s">
        <v>57</v>
      </c>
      <c r="D94" s="4" t="s">
        <v>58</v>
      </c>
      <c r="E94" s="92">
        <f>36112.8/(1.05*1.05)</f>
        <v>32755.374149659867</v>
      </c>
      <c r="F94" s="92">
        <v>0</v>
      </c>
      <c r="G94" s="28">
        <v>1</v>
      </c>
      <c r="H94" s="73" t="s">
        <v>230</v>
      </c>
    </row>
    <row r="95" spans="1:8" x14ac:dyDescent="0.45">
      <c r="A95" t="s">
        <v>59</v>
      </c>
      <c r="B95" t="s">
        <v>73</v>
      </c>
      <c r="C95" s="8" t="s">
        <v>20</v>
      </c>
      <c r="D95" s="4" t="s">
        <v>18</v>
      </c>
      <c r="E95" s="92">
        <v>0</v>
      </c>
      <c r="F95" s="92">
        <v>0</v>
      </c>
      <c r="G95" s="28">
        <v>1</v>
      </c>
      <c r="H95" s="70"/>
    </row>
    <row r="96" spans="1:8" s="95" customFormat="1" ht="28.5" x14ac:dyDescent="0.45">
      <c r="A96" s="31" t="s">
        <v>59</v>
      </c>
      <c r="B96" s="31" t="s">
        <v>73</v>
      </c>
      <c r="C96" s="61" t="s">
        <v>20</v>
      </c>
      <c r="D96" s="34" t="s">
        <v>21</v>
      </c>
      <c r="E96" s="93">
        <f>383.1*2/5</f>
        <v>153.24</v>
      </c>
      <c r="F96" s="93">
        <v>0</v>
      </c>
      <c r="G96" s="62">
        <v>1</v>
      </c>
      <c r="H96" s="68" t="s">
        <v>223</v>
      </c>
    </row>
    <row r="97" spans="1:8" x14ac:dyDescent="0.45">
      <c r="A97" t="s">
        <v>59</v>
      </c>
      <c r="B97" t="s">
        <v>73</v>
      </c>
      <c r="C97" s="8" t="s">
        <v>24</v>
      </c>
      <c r="D97" s="4" t="s">
        <v>18</v>
      </c>
      <c r="E97" s="92">
        <v>0</v>
      </c>
      <c r="F97" s="92">
        <v>0</v>
      </c>
      <c r="G97" s="28">
        <v>1</v>
      </c>
      <c r="H97" s="70"/>
    </row>
    <row r="98" spans="1:8" ht="42.75" x14ac:dyDescent="0.45">
      <c r="A98" t="s">
        <v>59</v>
      </c>
      <c r="B98" t="s">
        <v>73</v>
      </c>
      <c r="C98" s="8" t="s">
        <v>24</v>
      </c>
      <c r="D98" s="4" t="s">
        <v>25</v>
      </c>
      <c r="E98" s="92">
        <v>165.2</v>
      </c>
      <c r="F98" s="92">
        <v>0</v>
      </c>
      <c r="G98" s="28">
        <v>1</v>
      </c>
      <c r="H98" s="70" t="s">
        <v>221</v>
      </c>
    </row>
    <row r="99" spans="1:8" x14ac:dyDescent="0.45">
      <c r="A99" t="s">
        <v>59</v>
      </c>
      <c r="B99" t="s">
        <v>73</v>
      </c>
      <c r="C99" s="8" t="s">
        <v>29</v>
      </c>
      <c r="D99" s="4" t="s">
        <v>18</v>
      </c>
      <c r="E99" s="92">
        <v>0</v>
      </c>
      <c r="F99" s="92">
        <v>0</v>
      </c>
      <c r="G99" s="28">
        <v>1</v>
      </c>
      <c r="H99" s="70"/>
    </row>
    <row r="100" spans="1:8" ht="57" x14ac:dyDescent="0.45">
      <c r="A100" t="s">
        <v>59</v>
      </c>
      <c r="B100" t="s">
        <v>73</v>
      </c>
      <c r="C100" s="8" t="s">
        <v>29</v>
      </c>
      <c r="D100" s="4" t="s">
        <v>30</v>
      </c>
      <c r="E100" s="11">
        <v>2740.7247961165253</v>
      </c>
      <c r="F100" s="92">
        <v>0</v>
      </c>
      <c r="G100" s="28">
        <v>0</v>
      </c>
      <c r="H100" s="70" t="s">
        <v>133</v>
      </c>
    </row>
    <row r="101" spans="1:8" x14ac:dyDescent="0.45">
      <c r="A101" t="s">
        <v>59</v>
      </c>
      <c r="B101" t="s">
        <v>73</v>
      </c>
      <c r="C101" s="8" t="s">
        <v>31</v>
      </c>
      <c r="D101" s="4" t="s">
        <v>32</v>
      </c>
      <c r="E101" s="92">
        <v>0</v>
      </c>
      <c r="F101" s="92">
        <v>0</v>
      </c>
      <c r="G101" s="28">
        <v>1</v>
      </c>
      <c r="H101" s="70"/>
    </row>
    <row r="102" spans="1:8" x14ac:dyDescent="0.45">
      <c r="A102" t="s">
        <v>59</v>
      </c>
      <c r="B102" t="s">
        <v>73</v>
      </c>
      <c r="C102" s="8" t="s">
        <v>31</v>
      </c>
      <c r="D102" s="4" t="s">
        <v>34</v>
      </c>
      <c r="E102" s="92">
        <v>0</v>
      </c>
      <c r="F102" s="92">
        <v>0</v>
      </c>
      <c r="G102" s="28">
        <v>1</v>
      </c>
      <c r="H102" s="70"/>
    </row>
    <row r="103" spans="1:8" x14ac:dyDescent="0.45">
      <c r="A103" t="s">
        <v>59</v>
      </c>
      <c r="B103" t="s">
        <v>73</v>
      </c>
      <c r="C103" s="8" t="s">
        <v>33</v>
      </c>
      <c r="D103" s="4" t="s">
        <v>32</v>
      </c>
      <c r="E103" s="92">
        <v>0</v>
      </c>
      <c r="F103" s="92">
        <v>0</v>
      </c>
      <c r="G103" s="28">
        <v>1</v>
      </c>
      <c r="H103" s="70"/>
    </row>
    <row r="104" spans="1:8" x14ac:dyDescent="0.45">
      <c r="A104" t="s">
        <v>59</v>
      </c>
      <c r="B104" t="s">
        <v>73</v>
      </c>
      <c r="C104" s="8" t="s">
        <v>33</v>
      </c>
      <c r="D104" s="4" t="s">
        <v>34</v>
      </c>
      <c r="E104" s="92">
        <v>0</v>
      </c>
      <c r="F104" s="92">
        <v>0</v>
      </c>
      <c r="G104" s="28">
        <v>1</v>
      </c>
      <c r="H104" s="70"/>
    </row>
    <row r="105" spans="1:8" x14ac:dyDescent="0.45">
      <c r="A105" t="s">
        <v>59</v>
      </c>
      <c r="B105" t="s">
        <v>73</v>
      </c>
      <c r="C105" s="8" t="s">
        <v>60</v>
      </c>
      <c r="D105" s="4" t="s">
        <v>32</v>
      </c>
      <c r="E105" s="92">
        <v>0</v>
      </c>
      <c r="F105" s="92">
        <v>0</v>
      </c>
      <c r="G105" s="28">
        <v>1</v>
      </c>
      <c r="H105" s="70"/>
    </row>
    <row r="106" spans="1:8" x14ac:dyDescent="0.45">
      <c r="A106" t="s">
        <v>59</v>
      </c>
      <c r="B106" t="s">
        <v>73</v>
      </c>
      <c r="C106" s="8" t="s">
        <v>60</v>
      </c>
      <c r="D106" s="4" t="s">
        <v>34</v>
      </c>
      <c r="E106" s="92">
        <v>0</v>
      </c>
      <c r="F106" s="92">
        <v>0</v>
      </c>
      <c r="G106" s="28">
        <v>1</v>
      </c>
      <c r="H106" s="70"/>
    </row>
    <row r="107" spans="1:8" x14ac:dyDescent="0.45">
      <c r="A107" t="s">
        <v>59</v>
      </c>
      <c r="B107" t="s">
        <v>73</v>
      </c>
      <c r="C107" s="8" t="s">
        <v>40</v>
      </c>
      <c r="D107" s="4" t="s">
        <v>32</v>
      </c>
      <c r="E107" s="92">
        <v>0</v>
      </c>
      <c r="F107" s="92">
        <v>0</v>
      </c>
      <c r="G107" s="28">
        <v>1</v>
      </c>
      <c r="H107" s="70"/>
    </row>
    <row r="108" spans="1:8" x14ac:dyDescent="0.45">
      <c r="A108" t="s">
        <v>59</v>
      </c>
      <c r="B108" t="s">
        <v>73</v>
      </c>
      <c r="C108" s="8" t="s">
        <v>40</v>
      </c>
      <c r="D108" s="4" t="s">
        <v>34</v>
      </c>
      <c r="E108" s="92">
        <v>0</v>
      </c>
      <c r="F108" s="92">
        <v>0</v>
      </c>
      <c r="G108" s="28">
        <v>1</v>
      </c>
      <c r="H108" s="70"/>
    </row>
    <row r="109" spans="1:8" x14ac:dyDescent="0.45">
      <c r="A109" t="s">
        <v>59</v>
      </c>
      <c r="B109" t="s">
        <v>73</v>
      </c>
      <c r="C109" s="8" t="s">
        <v>41</v>
      </c>
      <c r="D109" s="4" t="s">
        <v>32</v>
      </c>
      <c r="E109" s="92">
        <v>0</v>
      </c>
      <c r="F109" s="92">
        <v>0</v>
      </c>
      <c r="G109" s="28">
        <v>1</v>
      </c>
      <c r="H109" s="70"/>
    </row>
    <row r="110" spans="1:8" x14ac:dyDescent="0.45">
      <c r="A110" t="s">
        <v>59</v>
      </c>
      <c r="B110" t="s">
        <v>73</v>
      </c>
      <c r="C110" s="8" t="s">
        <v>41</v>
      </c>
      <c r="D110" s="4" t="s">
        <v>34</v>
      </c>
      <c r="E110" s="92">
        <v>0</v>
      </c>
      <c r="F110" s="92">
        <v>0</v>
      </c>
      <c r="G110" s="28">
        <v>1</v>
      </c>
      <c r="H110" s="70"/>
    </row>
    <row r="111" spans="1:8" ht="85.5" x14ac:dyDescent="0.45">
      <c r="A111" t="s">
        <v>59</v>
      </c>
      <c r="B111" t="s">
        <v>73</v>
      </c>
      <c r="C111" s="8" t="s">
        <v>61</v>
      </c>
      <c r="D111" s="4" t="s">
        <v>32</v>
      </c>
      <c r="E111" s="92">
        <v>1147</v>
      </c>
      <c r="F111" s="92">
        <v>0</v>
      </c>
      <c r="G111" s="28">
        <v>1</v>
      </c>
      <c r="H111" s="70" t="s">
        <v>218</v>
      </c>
    </row>
    <row r="112" spans="1:8" x14ac:dyDescent="0.45">
      <c r="A112" t="s">
        <v>59</v>
      </c>
      <c r="B112" t="s">
        <v>73</v>
      </c>
      <c r="C112" s="8" t="s">
        <v>61</v>
      </c>
      <c r="D112" s="4" t="s">
        <v>34</v>
      </c>
      <c r="E112" s="92">
        <v>0</v>
      </c>
      <c r="F112" s="92">
        <v>0</v>
      </c>
      <c r="G112" s="28">
        <v>1</v>
      </c>
      <c r="H112" s="70"/>
    </row>
    <row r="113" spans="1:8" ht="99.75" x14ac:dyDescent="0.45">
      <c r="A113" t="s">
        <v>59</v>
      </c>
      <c r="B113" t="s">
        <v>73</v>
      </c>
      <c r="C113" s="8" t="s">
        <v>62</v>
      </c>
      <c r="D113" s="4" t="s">
        <v>32</v>
      </c>
      <c r="E113" s="92">
        <v>3658792.2216170053</v>
      </c>
      <c r="F113" s="92">
        <v>0</v>
      </c>
      <c r="G113" s="28">
        <v>1</v>
      </c>
      <c r="H113" s="70" t="s">
        <v>219</v>
      </c>
    </row>
    <row r="114" spans="1:8" x14ac:dyDescent="0.45">
      <c r="A114" t="s">
        <v>59</v>
      </c>
      <c r="B114" t="s">
        <v>73</v>
      </c>
      <c r="C114" s="8" t="s">
        <v>62</v>
      </c>
      <c r="D114" s="4" t="s">
        <v>34</v>
      </c>
      <c r="E114" s="92">
        <v>0</v>
      </c>
      <c r="F114" s="92">
        <v>0</v>
      </c>
      <c r="G114" s="28">
        <v>1</v>
      </c>
      <c r="H114" s="70"/>
    </row>
    <row r="115" spans="1:8" x14ac:dyDescent="0.45">
      <c r="A115" t="s">
        <v>63</v>
      </c>
      <c r="B115" t="s">
        <v>74</v>
      </c>
      <c r="C115" s="8" t="s">
        <v>20</v>
      </c>
      <c r="D115" s="4" t="s">
        <v>18</v>
      </c>
      <c r="E115" s="92">
        <v>0</v>
      </c>
      <c r="F115" s="92">
        <v>0</v>
      </c>
      <c r="G115" s="28">
        <v>1</v>
      </c>
      <c r="H115" s="70"/>
    </row>
    <row r="116" spans="1:8" s="95" customFormat="1" ht="28.5" x14ac:dyDescent="0.45">
      <c r="A116" s="31" t="s">
        <v>63</v>
      </c>
      <c r="B116" s="31" t="s">
        <v>74</v>
      </c>
      <c r="C116" s="61" t="s">
        <v>20</v>
      </c>
      <c r="D116" s="34" t="s">
        <v>21</v>
      </c>
      <c r="E116" s="93">
        <f>383.1*2/5</f>
        <v>153.24</v>
      </c>
      <c r="F116" s="93">
        <v>0</v>
      </c>
      <c r="G116" s="62">
        <v>1</v>
      </c>
      <c r="H116" s="68" t="s">
        <v>223</v>
      </c>
    </row>
    <row r="117" spans="1:8" x14ac:dyDescent="0.45">
      <c r="A117" t="s">
        <v>63</v>
      </c>
      <c r="B117" t="s">
        <v>74</v>
      </c>
      <c r="C117" s="8" t="s">
        <v>24</v>
      </c>
      <c r="D117" s="4" t="s">
        <v>18</v>
      </c>
      <c r="E117" s="92">
        <v>0</v>
      </c>
      <c r="F117" s="92">
        <v>0</v>
      </c>
      <c r="G117" s="28">
        <v>1</v>
      </c>
      <c r="H117" s="70"/>
    </row>
    <row r="118" spans="1:8" ht="42.75" x14ac:dyDescent="0.45">
      <c r="A118" t="s">
        <v>63</v>
      </c>
      <c r="B118" t="s">
        <v>74</v>
      </c>
      <c r="C118" s="8" t="s">
        <v>24</v>
      </c>
      <c r="D118" s="4" t="s">
        <v>25</v>
      </c>
      <c r="E118" s="92">
        <v>165.2</v>
      </c>
      <c r="F118" s="92">
        <v>0</v>
      </c>
      <c r="G118" s="28">
        <v>1</v>
      </c>
      <c r="H118" s="70" t="s">
        <v>128</v>
      </c>
    </row>
    <row r="119" spans="1:8" x14ac:dyDescent="0.45">
      <c r="A119" t="s">
        <v>63</v>
      </c>
      <c r="B119" t="s">
        <v>74</v>
      </c>
      <c r="C119" s="8" t="s">
        <v>29</v>
      </c>
      <c r="D119" s="4" t="s">
        <v>18</v>
      </c>
      <c r="E119" s="92">
        <v>0</v>
      </c>
      <c r="F119" s="92">
        <v>0</v>
      </c>
      <c r="G119" s="28">
        <v>1</v>
      </c>
      <c r="H119" s="70"/>
    </row>
    <row r="120" spans="1:8" ht="57" x14ac:dyDescent="0.45">
      <c r="A120" t="s">
        <v>63</v>
      </c>
      <c r="B120" t="s">
        <v>74</v>
      </c>
      <c r="C120" s="8" t="s">
        <v>29</v>
      </c>
      <c r="D120" s="4" t="s">
        <v>30</v>
      </c>
      <c r="E120" s="11">
        <v>2740.7247961165253</v>
      </c>
      <c r="F120" s="92">
        <v>0</v>
      </c>
      <c r="G120" s="28">
        <v>0</v>
      </c>
      <c r="H120" s="70" t="s">
        <v>222</v>
      </c>
    </row>
    <row r="121" spans="1:8" x14ac:dyDescent="0.45">
      <c r="A121" t="s">
        <v>63</v>
      </c>
      <c r="B121" t="s">
        <v>74</v>
      </c>
      <c r="C121" s="8" t="s">
        <v>31</v>
      </c>
      <c r="D121" s="4" t="s">
        <v>32</v>
      </c>
      <c r="E121" s="92">
        <v>0</v>
      </c>
      <c r="F121" s="92">
        <v>0</v>
      </c>
      <c r="G121" s="28">
        <v>1</v>
      </c>
      <c r="H121" s="70"/>
    </row>
    <row r="122" spans="1:8" x14ac:dyDescent="0.45">
      <c r="A122" t="s">
        <v>63</v>
      </c>
      <c r="B122" t="s">
        <v>74</v>
      </c>
      <c r="C122" s="8" t="s">
        <v>31</v>
      </c>
      <c r="D122" s="4" t="s">
        <v>34</v>
      </c>
      <c r="E122" s="92">
        <v>0</v>
      </c>
      <c r="F122" s="92">
        <v>0</v>
      </c>
      <c r="G122" s="28">
        <v>1</v>
      </c>
      <c r="H122" s="70"/>
    </row>
    <row r="123" spans="1:8" x14ac:dyDescent="0.45">
      <c r="A123" t="s">
        <v>63</v>
      </c>
      <c r="B123" t="s">
        <v>74</v>
      </c>
      <c r="C123" s="8" t="s">
        <v>33</v>
      </c>
      <c r="D123" s="4" t="s">
        <v>32</v>
      </c>
      <c r="E123" s="92">
        <v>0</v>
      </c>
      <c r="F123" s="92">
        <v>0</v>
      </c>
      <c r="G123" s="28">
        <v>1</v>
      </c>
      <c r="H123" s="70"/>
    </row>
    <row r="124" spans="1:8" x14ac:dyDescent="0.45">
      <c r="A124" t="s">
        <v>63</v>
      </c>
      <c r="B124" t="s">
        <v>74</v>
      </c>
      <c r="C124" s="8" t="s">
        <v>33</v>
      </c>
      <c r="D124" s="4" t="s">
        <v>34</v>
      </c>
      <c r="E124" s="92">
        <v>0</v>
      </c>
      <c r="F124" s="92">
        <v>0</v>
      </c>
      <c r="G124" s="28">
        <v>1</v>
      </c>
      <c r="H124" s="70"/>
    </row>
    <row r="125" spans="1:8" x14ac:dyDescent="0.45">
      <c r="A125" t="s">
        <v>63</v>
      </c>
      <c r="B125" t="s">
        <v>74</v>
      </c>
      <c r="C125" s="8" t="s">
        <v>64</v>
      </c>
      <c r="D125" s="4" t="s">
        <v>32</v>
      </c>
      <c r="E125" s="92">
        <v>0</v>
      </c>
      <c r="F125" s="92">
        <v>0</v>
      </c>
      <c r="G125" s="28">
        <v>1</v>
      </c>
      <c r="H125" s="70"/>
    </row>
    <row r="126" spans="1:8" x14ac:dyDescent="0.45">
      <c r="A126" t="s">
        <v>63</v>
      </c>
      <c r="B126" t="s">
        <v>74</v>
      </c>
      <c r="C126" s="8" t="s">
        <v>64</v>
      </c>
      <c r="D126" s="4" t="s">
        <v>34</v>
      </c>
      <c r="E126" s="92">
        <v>0</v>
      </c>
      <c r="F126" s="92">
        <v>0</v>
      </c>
      <c r="G126" s="28">
        <v>1</v>
      </c>
      <c r="H126" s="70"/>
    </row>
    <row r="127" spans="1:8" x14ac:dyDescent="0.45">
      <c r="A127" t="s">
        <v>63</v>
      </c>
      <c r="B127" t="s">
        <v>74</v>
      </c>
      <c r="C127" s="8" t="s">
        <v>40</v>
      </c>
      <c r="D127" s="4" t="s">
        <v>32</v>
      </c>
      <c r="E127" s="92">
        <v>0</v>
      </c>
      <c r="F127" s="92">
        <v>0</v>
      </c>
      <c r="G127" s="28">
        <v>1</v>
      </c>
      <c r="H127" s="70"/>
    </row>
    <row r="128" spans="1:8" x14ac:dyDescent="0.45">
      <c r="A128" t="s">
        <v>63</v>
      </c>
      <c r="B128" t="s">
        <v>74</v>
      </c>
      <c r="C128" s="8" t="s">
        <v>40</v>
      </c>
      <c r="D128" s="4" t="s">
        <v>34</v>
      </c>
      <c r="E128" s="92">
        <v>0</v>
      </c>
      <c r="F128" s="92">
        <v>0</v>
      </c>
      <c r="G128" s="28">
        <v>1</v>
      </c>
      <c r="H128" s="70"/>
    </row>
    <row r="129" spans="1:8" x14ac:dyDescent="0.45">
      <c r="A129" t="s">
        <v>63</v>
      </c>
      <c r="B129" t="s">
        <v>74</v>
      </c>
      <c r="C129" s="8" t="s">
        <v>41</v>
      </c>
      <c r="D129" s="4" t="s">
        <v>32</v>
      </c>
      <c r="E129" s="92">
        <v>0</v>
      </c>
      <c r="F129" s="92">
        <v>0</v>
      </c>
      <c r="G129" s="28">
        <v>1</v>
      </c>
      <c r="H129" s="70"/>
    </row>
    <row r="130" spans="1:8" x14ac:dyDescent="0.45">
      <c r="A130" t="s">
        <v>63</v>
      </c>
      <c r="B130" t="s">
        <v>74</v>
      </c>
      <c r="C130" s="8" t="s">
        <v>41</v>
      </c>
      <c r="D130" s="4" t="s">
        <v>34</v>
      </c>
      <c r="E130" s="92">
        <v>0</v>
      </c>
      <c r="F130" s="92">
        <v>0</v>
      </c>
      <c r="G130" s="28">
        <v>1</v>
      </c>
      <c r="H130" s="70"/>
    </row>
    <row r="131" spans="1:8" ht="85.5" x14ac:dyDescent="0.45">
      <c r="A131" t="s">
        <v>63</v>
      </c>
      <c r="B131" t="s">
        <v>74</v>
      </c>
      <c r="C131" s="8" t="s">
        <v>65</v>
      </c>
      <c r="D131" s="4" t="s">
        <v>32</v>
      </c>
      <c r="E131" s="92">
        <v>1147</v>
      </c>
      <c r="F131" s="92">
        <v>0</v>
      </c>
      <c r="G131" s="28">
        <v>1</v>
      </c>
      <c r="H131" s="70" t="s">
        <v>218</v>
      </c>
    </row>
    <row r="132" spans="1:8" x14ac:dyDescent="0.45">
      <c r="A132" t="s">
        <v>63</v>
      </c>
      <c r="B132" t="s">
        <v>74</v>
      </c>
      <c r="C132" s="8" t="s">
        <v>65</v>
      </c>
      <c r="D132" s="4" t="s">
        <v>34</v>
      </c>
      <c r="E132" s="92">
        <v>0</v>
      </c>
      <c r="F132" s="92">
        <v>0</v>
      </c>
      <c r="G132" s="28">
        <v>1</v>
      </c>
      <c r="H132" s="70"/>
    </row>
    <row r="133" spans="1:8" ht="99.75" x14ac:dyDescent="0.45">
      <c r="A133" t="s">
        <v>63</v>
      </c>
      <c r="B133" t="s">
        <v>74</v>
      </c>
      <c r="C133" s="8" t="s">
        <v>66</v>
      </c>
      <c r="D133" s="4" t="s">
        <v>32</v>
      </c>
      <c r="E133" s="92">
        <v>3658792.2216170053</v>
      </c>
      <c r="F133" s="92">
        <v>0</v>
      </c>
      <c r="G133" s="28">
        <v>1</v>
      </c>
      <c r="H133" s="70" t="s">
        <v>219</v>
      </c>
    </row>
    <row r="134" spans="1:8" x14ac:dyDescent="0.45">
      <c r="A134" s="5" t="s">
        <v>63</v>
      </c>
      <c r="B134" s="5" t="s">
        <v>74</v>
      </c>
      <c r="C134" s="9" t="s">
        <v>66</v>
      </c>
      <c r="D134" s="7" t="s">
        <v>34</v>
      </c>
      <c r="E134" s="94">
        <v>0</v>
      </c>
      <c r="F134" s="94">
        <v>0</v>
      </c>
      <c r="G134" s="29">
        <v>1</v>
      </c>
      <c r="H134" s="8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50" zoomScaleNormal="50" workbookViewId="0">
      <selection activeCell="G2" sqref="G2"/>
    </sheetView>
  </sheetViews>
  <sheetFormatPr defaultColWidth="8.796875" defaultRowHeight="14.25" x14ac:dyDescent="0.45"/>
  <cols>
    <col min="1" max="1" width="37.46484375" customWidth="1"/>
    <col min="2" max="2" width="49" customWidth="1"/>
    <col min="3" max="3" width="14.796875" customWidth="1"/>
    <col min="4" max="4" width="12" customWidth="1"/>
    <col min="5" max="5" width="12.796875" customWidth="1"/>
    <col min="6" max="6" width="60.796875" style="12" customWidth="1"/>
    <col min="7" max="7" width="55.1328125" customWidth="1"/>
  </cols>
  <sheetData>
    <row r="1" spans="1:6" ht="15" thickTop="1" thickBot="1" x14ac:dyDescent="0.5">
      <c r="A1" s="1" t="s">
        <v>0</v>
      </c>
      <c r="B1" s="1" t="s">
        <v>67</v>
      </c>
      <c r="C1" s="1" t="s">
        <v>1</v>
      </c>
      <c r="D1" s="1" t="s">
        <v>2</v>
      </c>
      <c r="E1" s="42" t="s">
        <v>75</v>
      </c>
      <c r="F1" s="69" t="s">
        <v>102</v>
      </c>
    </row>
    <row r="2" spans="1:6" ht="28.5" x14ac:dyDescent="0.45">
      <c r="A2" t="s">
        <v>16</v>
      </c>
      <c r="B2" t="s">
        <v>69</v>
      </c>
      <c r="C2" t="s">
        <v>17</v>
      </c>
      <c r="D2" t="s">
        <v>19</v>
      </c>
      <c r="E2" s="13">
        <v>0.4047</v>
      </c>
      <c r="F2" s="70" t="s">
        <v>116</v>
      </c>
    </row>
    <row r="3" spans="1:6" s="95" customFormat="1" x14ac:dyDescent="0.45">
      <c r="A3" s="31" t="s">
        <v>16</v>
      </c>
      <c r="B3" s="31" t="s">
        <v>69</v>
      </c>
      <c r="C3" s="31" t="s">
        <v>20</v>
      </c>
      <c r="D3" s="31" t="s">
        <v>21</v>
      </c>
      <c r="E3" s="64">
        <v>0.1</v>
      </c>
      <c r="F3" s="68" t="s">
        <v>134</v>
      </c>
    </row>
    <row r="4" spans="1:6" x14ac:dyDescent="0.45">
      <c r="A4" t="s">
        <v>16</v>
      </c>
      <c r="B4" t="s">
        <v>69</v>
      </c>
      <c r="C4" t="s">
        <v>22</v>
      </c>
      <c r="D4" t="s">
        <v>23</v>
      </c>
      <c r="E4" s="13">
        <v>0.63900000000000001</v>
      </c>
      <c r="F4" s="70" t="s">
        <v>117</v>
      </c>
    </row>
    <row r="5" spans="1:6" x14ac:dyDescent="0.45">
      <c r="A5" t="s">
        <v>16</v>
      </c>
      <c r="B5" t="s">
        <v>69</v>
      </c>
      <c r="C5" t="s">
        <v>24</v>
      </c>
      <c r="D5" t="s">
        <v>25</v>
      </c>
      <c r="E5" s="13">
        <v>0.9</v>
      </c>
      <c r="F5" s="70" t="s">
        <v>113</v>
      </c>
    </row>
    <row r="6" spans="1:6" ht="28.5" x14ac:dyDescent="0.45">
      <c r="A6" t="s">
        <v>16</v>
      </c>
      <c r="B6" t="s">
        <v>69</v>
      </c>
      <c r="C6" t="s">
        <v>26</v>
      </c>
      <c r="D6" t="s">
        <v>27</v>
      </c>
      <c r="E6" s="13">
        <v>0.3</v>
      </c>
      <c r="F6" s="71" t="s">
        <v>123</v>
      </c>
    </row>
    <row r="7" spans="1:6" x14ac:dyDescent="0.45">
      <c r="A7" t="s">
        <v>16</v>
      </c>
      <c r="B7" t="s">
        <v>69</v>
      </c>
      <c r="C7" t="s">
        <v>26</v>
      </c>
      <c r="D7" t="s">
        <v>28</v>
      </c>
      <c r="E7" s="13">
        <v>0.6</v>
      </c>
      <c r="F7" s="70" t="s">
        <v>107</v>
      </c>
    </row>
    <row r="8" spans="1:6" s="95" customFormat="1" ht="42.75" x14ac:dyDescent="0.45">
      <c r="A8" s="31" t="s">
        <v>16</v>
      </c>
      <c r="B8" s="31" t="s">
        <v>69</v>
      </c>
      <c r="C8" s="31" t="s">
        <v>29</v>
      </c>
      <c r="D8" s="31" t="s">
        <v>30</v>
      </c>
      <c r="E8" s="65">
        <v>0.18600000000000003</v>
      </c>
      <c r="F8" s="72" t="s">
        <v>229</v>
      </c>
    </row>
    <row r="9" spans="1:6" s="95" customFormat="1" x14ac:dyDescent="0.45">
      <c r="A9" s="31" t="s">
        <v>44</v>
      </c>
      <c r="B9" s="31" t="s">
        <v>70</v>
      </c>
      <c r="C9" s="31" t="s">
        <v>20</v>
      </c>
      <c r="D9" s="31" t="s">
        <v>21</v>
      </c>
      <c r="E9" s="64">
        <v>0.1</v>
      </c>
      <c r="F9" s="68" t="s">
        <v>134</v>
      </c>
    </row>
    <row r="10" spans="1:6" x14ac:dyDescent="0.45">
      <c r="A10" t="s">
        <v>44</v>
      </c>
      <c r="B10" t="s">
        <v>70</v>
      </c>
      <c r="C10" t="s">
        <v>24</v>
      </c>
      <c r="D10" t="s">
        <v>25</v>
      </c>
      <c r="E10" s="13">
        <v>0.63</v>
      </c>
      <c r="F10" s="73" t="s">
        <v>224</v>
      </c>
    </row>
    <row r="11" spans="1:6" x14ac:dyDescent="0.45">
      <c r="A11" t="s">
        <v>44</v>
      </c>
      <c r="B11" t="s">
        <v>70</v>
      </c>
      <c r="C11" t="s">
        <v>26</v>
      </c>
      <c r="D11" t="s">
        <v>27</v>
      </c>
      <c r="E11" s="13">
        <v>0.3</v>
      </c>
      <c r="F11" s="70" t="s">
        <v>95</v>
      </c>
    </row>
    <row r="12" spans="1:6" x14ac:dyDescent="0.45">
      <c r="A12" t="s">
        <v>44</v>
      </c>
      <c r="B12" t="s">
        <v>70</v>
      </c>
      <c r="C12" t="s">
        <v>26</v>
      </c>
      <c r="D12" t="s">
        <v>28</v>
      </c>
      <c r="E12" s="13">
        <v>0.6</v>
      </c>
      <c r="F12" s="73" t="s">
        <v>114</v>
      </c>
    </row>
    <row r="13" spans="1:6" ht="42.75" x14ac:dyDescent="0.45">
      <c r="A13" t="s">
        <v>44</v>
      </c>
      <c r="B13" t="s">
        <v>70</v>
      </c>
      <c r="C13" t="s">
        <v>29</v>
      </c>
      <c r="D13" t="s">
        <v>30</v>
      </c>
      <c r="E13" s="13">
        <v>0</v>
      </c>
      <c r="F13" s="73" t="s">
        <v>225</v>
      </c>
    </row>
    <row r="14" spans="1:6" ht="42.75" x14ac:dyDescent="0.45">
      <c r="A14" t="s">
        <v>48</v>
      </c>
      <c r="B14" t="s">
        <v>71</v>
      </c>
      <c r="C14" t="s">
        <v>22</v>
      </c>
      <c r="D14" t="s">
        <v>23</v>
      </c>
      <c r="E14" s="15">
        <v>0.51119999999999999</v>
      </c>
      <c r="F14" s="74" t="s">
        <v>226</v>
      </c>
    </row>
    <row r="15" spans="1:6" ht="28.5" x14ac:dyDescent="0.45">
      <c r="A15" t="s">
        <v>48</v>
      </c>
      <c r="B15" t="s">
        <v>71</v>
      </c>
      <c r="C15" t="s">
        <v>17</v>
      </c>
      <c r="D15" t="s">
        <v>19</v>
      </c>
      <c r="E15" s="13">
        <v>0.4047</v>
      </c>
      <c r="F15" s="70" t="s">
        <v>116</v>
      </c>
    </row>
    <row r="16" spans="1:6" s="95" customFormat="1" x14ac:dyDescent="0.45">
      <c r="A16" s="31" t="s">
        <v>48</v>
      </c>
      <c r="B16" s="31" t="s">
        <v>71</v>
      </c>
      <c r="C16" s="31" t="s">
        <v>20</v>
      </c>
      <c r="D16" s="31" t="s">
        <v>21</v>
      </c>
      <c r="E16" s="64">
        <v>0.1</v>
      </c>
      <c r="F16" s="68" t="s">
        <v>134</v>
      </c>
    </row>
    <row r="17" spans="1:6" x14ac:dyDescent="0.45">
      <c r="A17" t="s">
        <v>48</v>
      </c>
      <c r="B17" t="s">
        <v>71</v>
      </c>
      <c r="C17" t="s">
        <v>49</v>
      </c>
      <c r="D17" t="s">
        <v>50</v>
      </c>
      <c r="E17" s="13">
        <v>0.9</v>
      </c>
      <c r="F17" s="70" t="s">
        <v>129</v>
      </c>
    </row>
    <row r="18" spans="1:6" ht="28.5" x14ac:dyDescent="0.45">
      <c r="A18" t="s">
        <v>48</v>
      </c>
      <c r="B18" t="s">
        <v>71</v>
      </c>
      <c r="C18" t="s">
        <v>26</v>
      </c>
      <c r="D18" t="s">
        <v>27</v>
      </c>
      <c r="E18" s="13">
        <v>0.3</v>
      </c>
      <c r="F18" s="71" t="s">
        <v>118</v>
      </c>
    </row>
    <row r="19" spans="1:6" x14ac:dyDescent="0.45">
      <c r="A19" t="s">
        <v>48</v>
      </c>
      <c r="B19" t="s">
        <v>71</v>
      </c>
      <c r="C19" t="s">
        <v>26</v>
      </c>
      <c r="D19" t="s">
        <v>28</v>
      </c>
      <c r="E19" s="13">
        <v>0.6</v>
      </c>
      <c r="F19" s="73" t="s">
        <v>114</v>
      </c>
    </row>
    <row r="20" spans="1:6" x14ac:dyDescent="0.45">
      <c r="A20" t="s">
        <v>48</v>
      </c>
      <c r="B20" t="s">
        <v>72</v>
      </c>
      <c r="C20" t="s">
        <v>22</v>
      </c>
      <c r="D20" t="s">
        <v>23</v>
      </c>
      <c r="E20" s="15">
        <v>0.51119999999999999</v>
      </c>
      <c r="F20" s="73" t="s">
        <v>126</v>
      </c>
    </row>
    <row r="21" spans="1:6" x14ac:dyDescent="0.45">
      <c r="A21" t="s">
        <v>48</v>
      </c>
      <c r="B21" t="s">
        <v>72</v>
      </c>
      <c r="C21" t="s">
        <v>49</v>
      </c>
      <c r="D21" t="s">
        <v>50</v>
      </c>
      <c r="E21" s="13">
        <v>0.9</v>
      </c>
      <c r="F21" s="70" t="s">
        <v>129</v>
      </c>
    </row>
    <row r="22" spans="1:6" ht="28.5" x14ac:dyDescent="0.45">
      <c r="A22" t="s">
        <v>48</v>
      </c>
      <c r="B22" t="s">
        <v>72</v>
      </c>
      <c r="C22" t="s">
        <v>26</v>
      </c>
      <c r="D22" t="s">
        <v>27</v>
      </c>
      <c r="E22" s="13">
        <v>0.3</v>
      </c>
      <c r="F22" s="71" t="s">
        <v>118</v>
      </c>
    </row>
    <row r="23" spans="1:6" x14ac:dyDescent="0.45">
      <c r="A23" t="s">
        <v>48</v>
      </c>
      <c r="B23" t="s">
        <v>72</v>
      </c>
      <c r="C23" t="s">
        <v>26</v>
      </c>
      <c r="D23" t="s">
        <v>28</v>
      </c>
      <c r="E23" s="13">
        <v>0.6</v>
      </c>
      <c r="F23" s="73" t="s">
        <v>227</v>
      </c>
    </row>
    <row r="24" spans="1:6" s="95" customFormat="1" x14ac:dyDescent="0.45">
      <c r="A24" s="31" t="s">
        <v>59</v>
      </c>
      <c r="B24" s="31" t="s">
        <v>73</v>
      </c>
      <c r="C24" s="31" t="s">
        <v>20</v>
      </c>
      <c r="D24" s="31" t="s">
        <v>21</v>
      </c>
      <c r="E24" s="64">
        <v>0.15</v>
      </c>
      <c r="F24" s="68" t="s">
        <v>134</v>
      </c>
    </row>
    <row r="25" spans="1:6" x14ac:dyDescent="0.45">
      <c r="A25" t="s">
        <v>59</v>
      </c>
      <c r="B25" t="s">
        <v>73</v>
      </c>
      <c r="C25" t="s">
        <v>24</v>
      </c>
      <c r="D25" t="s">
        <v>25</v>
      </c>
      <c r="E25" s="13">
        <v>0.9</v>
      </c>
      <c r="F25" s="70" t="s">
        <v>113</v>
      </c>
    </row>
    <row r="26" spans="1:6" x14ac:dyDescent="0.45">
      <c r="A26" t="s">
        <v>59</v>
      </c>
      <c r="B26" t="s">
        <v>73</v>
      </c>
      <c r="C26" t="s">
        <v>29</v>
      </c>
      <c r="D26" t="s">
        <v>30</v>
      </c>
      <c r="E26" s="13">
        <v>0</v>
      </c>
      <c r="F26" s="73" t="s">
        <v>228</v>
      </c>
    </row>
    <row r="27" spans="1:6" s="95" customFormat="1" x14ac:dyDescent="0.45">
      <c r="A27" s="31" t="s">
        <v>63</v>
      </c>
      <c r="B27" s="31" t="s">
        <v>74</v>
      </c>
      <c r="C27" s="31" t="s">
        <v>20</v>
      </c>
      <c r="D27" s="31" t="s">
        <v>21</v>
      </c>
      <c r="E27" s="64">
        <v>0.15</v>
      </c>
      <c r="F27" s="68" t="s">
        <v>134</v>
      </c>
    </row>
    <row r="28" spans="1:6" x14ac:dyDescent="0.45">
      <c r="A28" t="s">
        <v>63</v>
      </c>
      <c r="B28" t="s">
        <v>74</v>
      </c>
      <c r="C28" t="s">
        <v>24</v>
      </c>
      <c r="D28" t="s">
        <v>25</v>
      </c>
      <c r="E28" s="27">
        <v>0</v>
      </c>
      <c r="F28" s="73" t="s">
        <v>115</v>
      </c>
    </row>
    <row r="29" spans="1:6" x14ac:dyDescent="0.45">
      <c r="A29" s="5" t="s">
        <v>63</v>
      </c>
      <c r="B29" s="5" t="s">
        <v>74</v>
      </c>
      <c r="C29" s="5" t="s">
        <v>29</v>
      </c>
      <c r="D29" s="66" t="s">
        <v>30</v>
      </c>
      <c r="E29" s="67">
        <v>0</v>
      </c>
      <c r="F29" s="75" t="s">
        <v>228</v>
      </c>
    </row>
    <row r="30" spans="1:6" x14ac:dyDescent="0.45">
      <c r="F30" s="14"/>
    </row>
    <row r="31" spans="1:6" x14ac:dyDescent="0.45">
      <c r="F31" s="14"/>
    </row>
    <row r="32" spans="1:6" x14ac:dyDescent="0.45">
      <c r="F32" s="14"/>
    </row>
    <row r="33" spans="6:6" x14ac:dyDescent="0.45">
      <c r="F33" s="14"/>
    </row>
    <row r="34" spans="6:6" x14ac:dyDescent="0.45">
      <c r="F34" s="14"/>
    </row>
    <row r="35" spans="6:6" x14ac:dyDescent="0.45">
      <c r="F35" s="14"/>
    </row>
    <row r="36" spans="6:6" x14ac:dyDescent="0.45">
      <c r="F36" s="14"/>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0f749f-c663-4145-9164-aa140ba58102">
      <Terms xmlns="http://schemas.microsoft.com/office/infopath/2007/PartnerControls"/>
    </lcf76f155ced4ddcb4097134ff3c332f>
    <TaxCatchAll xmlns="ce92fcbc-3752-4d72-9491-d46a998f0cf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CB641C7630DFF4CA98B1F35682F0310" ma:contentTypeVersion="15" ma:contentTypeDescription="Create a new document." ma:contentTypeScope="" ma:versionID="06bba285f4af47ef99357e0eb7982603">
  <xsd:schema xmlns:xsd="http://www.w3.org/2001/XMLSchema" xmlns:xs="http://www.w3.org/2001/XMLSchema" xmlns:p="http://schemas.microsoft.com/office/2006/metadata/properties" xmlns:ns2="ce92fcbc-3752-4d72-9491-d46a998f0cf9" xmlns:ns3="a10f749f-c663-4145-9164-aa140ba58102" targetNamespace="http://schemas.microsoft.com/office/2006/metadata/properties" ma:root="true" ma:fieldsID="5054286b2bfa935843604c01b5bd47d8" ns2:_="" ns3:_="">
    <xsd:import namespace="ce92fcbc-3752-4d72-9491-d46a998f0cf9"/>
    <xsd:import namespace="a10f749f-c663-4145-9164-aa140ba5810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2fcbc-3752-4d72-9491-d46a998f0cf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41c9172-c6d6-4c0d-8088-6f6d6ec62955}" ma:internalName="TaxCatchAll" ma:showField="CatchAllData" ma:web="ce92fcbc-3752-4d72-9491-d46a998f0c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10f749f-c663-4145-9164-aa140ba5810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03F485-E770-4D0F-AD0B-79ED0021F54F}">
  <ds:schemaRefs>
    <ds:schemaRef ds:uri="http://purl.org/dc/elements/1.1/"/>
    <ds:schemaRef ds:uri="http://purl.org/dc/terms/"/>
    <ds:schemaRef ds:uri="ce92fcbc-3752-4d72-9491-d46a998f0cf9"/>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a10f749f-c663-4145-9164-aa140ba58102"/>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B4FCDF61-2FC7-413F-A55D-EF40322DE9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92fcbc-3752-4d72-9491-d46a998f0cf9"/>
    <ds:schemaRef ds:uri="a10f749f-c663-4145-9164-aa140ba58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15A430-4F6D-4706-B71E-316A6081E6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probabilities</vt:lpstr>
      <vt:lpstr>evidence</vt:lpstr>
      <vt:lpstr>population_size</vt:lpstr>
      <vt:lpstr>costs</vt:lpstr>
      <vt:lpstr>max_coverage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Bowring</cp:lastModifiedBy>
  <dcterms:created xsi:type="dcterms:W3CDTF">2024-11-25T14:11:28Z</dcterms:created>
  <dcterms:modified xsi:type="dcterms:W3CDTF">2025-10-17T10:13:47Z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0x0101004CB641C7630DFF4CA98B1F35682F0310</vt:lpwstr>
  </property>
</Properties>
</file>